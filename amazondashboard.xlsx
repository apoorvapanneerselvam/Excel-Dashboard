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9F15F8B-5D9D-466F-919B-6F36CCA77747}" xr6:coauthVersionLast="47" xr6:coauthVersionMax="47" xr10:uidLastSave="{00000000-0000-0000-0000-000000000000}"/>
  <bookViews>
    <workbookView xWindow="-120" yWindow="-120" windowWidth="26640" windowHeight="14370" activeTab="5" xr2:uid="{65686222-D027-4003-89DD-CFA7EBB2CD51}"/>
  </bookViews>
  <sheets>
    <sheet name="Vlookup" sheetId="5" r:id="rId1"/>
    <sheet name="Xlookup" sheetId="6" r:id="rId2"/>
    <sheet name="Sheet4" sheetId="7" r:id="rId3"/>
    <sheet name="Amazon_sales" sheetId="1" r:id="rId4"/>
    <sheet name="IF Condition" sheetId="4" r:id="rId5"/>
    <sheet name="amazon dashboard" sheetId="3" r:id="rId6"/>
  </sheets>
  <definedNames>
    <definedName name="Slicer_Customer_Location">#N/A</definedName>
    <definedName name="Slicer_Date">#N/A</definedName>
    <definedName name="Slicer_Payment_Method1">#N/A</definedName>
    <definedName name="Slicer_Status1">#N/A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B4" i="6"/>
  <c r="B5" i="6"/>
  <c r="B7" i="6"/>
  <c r="B8" i="6"/>
  <c r="B9" i="6"/>
  <c r="B10" i="6"/>
  <c r="B11" i="6"/>
  <c r="B12" i="6"/>
  <c r="B13" i="6"/>
  <c r="B2" i="6"/>
  <c r="D13" i="5"/>
  <c r="C13" i="5"/>
  <c r="D12" i="5"/>
  <c r="C12" i="5"/>
  <c r="D11" i="5"/>
  <c r="C11" i="5"/>
  <c r="D10" i="5"/>
  <c r="C10" i="5"/>
  <c r="D9" i="5"/>
  <c r="C9" i="5"/>
  <c r="D8" i="5"/>
  <c r="C8" i="5"/>
  <c r="D7" i="5"/>
  <c r="C7" i="5"/>
  <c r="D6" i="5"/>
  <c r="C6" i="5"/>
  <c r="D5" i="5"/>
  <c r="C5" i="5"/>
  <c r="D4" i="5"/>
  <c r="C4" i="5"/>
  <c r="D3" i="5"/>
  <c r="C3" i="5"/>
  <c r="D2" i="5"/>
  <c r="C2" i="5"/>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 i="4"/>
  <c r="C251" i="4"/>
  <c r="B251" i="4"/>
  <c r="C250" i="4"/>
  <c r="B250" i="4"/>
  <c r="C249" i="4"/>
  <c r="B249" i="4"/>
  <c r="C248" i="4"/>
  <c r="B248" i="4"/>
  <c r="C247" i="4"/>
  <c r="B247" i="4"/>
  <c r="C246" i="4"/>
  <c r="B246" i="4"/>
  <c r="C245" i="4"/>
  <c r="B245" i="4"/>
  <c r="C244" i="4"/>
  <c r="B244" i="4"/>
  <c r="C243" i="4"/>
  <c r="B243" i="4"/>
  <c r="C242" i="4"/>
  <c r="B242" i="4"/>
  <c r="C241" i="4"/>
  <c r="B241" i="4"/>
  <c r="C240" i="4"/>
  <c r="B240" i="4"/>
  <c r="C239" i="4"/>
  <c r="B239" i="4"/>
  <c r="C238" i="4"/>
  <c r="B238" i="4"/>
  <c r="C237" i="4"/>
  <c r="B237" i="4"/>
  <c r="C236" i="4"/>
  <c r="B236" i="4"/>
  <c r="C235" i="4"/>
  <c r="B235" i="4"/>
  <c r="C234" i="4"/>
  <c r="B234" i="4"/>
  <c r="C233" i="4"/>
  <c r="B233" i="4"/>
  <c r="C232" i="4"/>
  <c r="B232" i="4"/>
  <c r="C231" i="4"/>
  <c r="B231" i="4"/>
  <c r="C230" i="4"/>
  <c r="B230" i="4"/>
  <c r="C229" i="4"/>
  <c r="B229" i="4"/>
  <c r="C228" i="4"/>
  <c r="B228" i="4"/>
  <c r="C227" i="4"/>
  <c r="B227" i="4"/>
  <c r="C226" i="4"/>
  <c r="B226" i="4"/>
  <c r="C225" i="4"/>
  <c r="B225" i="4"/>
  <c r="C224" i="4"/>
  <c r="B224" i="4"/>
  <c r="C223" i="4"/>
  <c r="B223" i="4"/>
  <c r="C222" i="4"/>
  <c r="B222" i="4"/>
  <c r="C221" i="4"/>
  <c r="B221" i="4"/>
  <c r="C220" i="4"/>
  <c r="B220" i="4"/>
  <c r="C219" i="4"/>
  <c r="B219" i="4"/>
  <c r="C218" i="4"/>
  <c r="B218" i="4"/>
  <c r="C217" i="4"/>
  <c r="B217" i="4"/>
  <c r="C216" i="4"/>
  <c r="B216" i="4"/>
  <c r="C215" i="4"/>
  <c r="B215" i="4"/>
  <c r="C214" i="4"/>
  <c r="B214" i="4"/>
  <c r="C213" i="4"/>
  <c r="B213" i="4"/>
  <c r="C212" i="4"/>
  <c r="B212" i="4"/>
  <c r="C211" i="4"/>
  <c r="B211" i="4"/>
  <c r="C210" i="4"/>
  <c r="B210" i="4"/>
  <c r="C209" i="4"/>
  <c r="B209" i="4"/>
  <c r="C208" i="4"/>
  <c r="B208" i="4"/>
  <c r="C207" i="4"/>
  <c r="B207" i="4"/>
  <c r="C206" i="4"/>
  <c r="B206" i="4"/>
  <c r="C205" i="4"/>
  <c r="B205" i="4"/>
  <c r="C204" i="4"/>
  <c r="B204" i="4"/>
  <c r="C203" i="4"/>
  <c r="B203" i="4"/>
  <c r="C202" i="4"/>
  <c r="B202" i="4"/>
  <c r="C201" i="4"/>
  <c r="B201" i="4"/>
  <c r="C200" i="4"/>
  <c r="B200" i="4"/>
  <c r="C199" i="4"/>
  <c r="B199" i="4"/>
  <c r="C198" i="4"/>
  <c r="B198" i="4"/>
  <c r="C197" i="4"/>
  <c r="B197" i="4"/>
  <c r="C196" i="4"/>
  <c r="B196" i="4"/>
  <c r="C195" i="4"/>
  <c r="B195" i="4"/>
  <c r="C194" i="4"/>
  <c r="B194" i="4"/>
  <c r="C193" i="4"/>
  <c r="B193" i="4"/>
  <c r="C192" i="4"/>
  <c r="B192" i="4"/>
  <c r="C191" i="4"/>
  <c r="B191" i="4"/>
  <c r="C190" i="4"/>
  <c r="B190" i="4"/>
  <c r="C189" i="4"/>
  <c r="B189" i="4"/>
  <c r="C188" i="4"/>
  <c r="B188" i="4"/>
  <c r="C187" i="4"/>
  <c r="B187" i="4"/>
  <c r="C186" i="4"/>
  <c r="B186" i="4"/>
  <c r="C185" i="4"/>
  <c r="B185" i="4"/>
  <c r="C184" i="4"/>
  <c r="B184" i="4"/>
  <c r="C183" i="4"/>
  <c r="B183" i="4"/>
  <c r="C182" i="4"/>
  <c r="B182" i="4"/>
  <c r="C181" i="4"/>
  <c r="B181" i="4"/>
  <c r="C180" i="4"/>
  <c r="B180" i="4"/>
  <c r="C179" i="4"/>
  <c r="B179" i="4"/>
  <c r="C178" i="4"/>
  <c r="B178" i="4"/>
  <c r="C177" i="4"/>
  <c r="B177" i="4"/>
  <c r="C176" i="4"/>
  <c r="B176" i="4"/>
  <c r="C175" i="4"/>
  <c r="B175" i="4"/>
  <c r="C174" i="4"/>
  <c r="B174" i="4"/>
  <c r="C173" i="4"/>
  <c r="B173" i="4"/>
  <c r="C172" i="4"/>
  <c r="B172" i="4"/>
  <c r="C171" i="4"/>
  <c r="B171" i="4"/>
  <c r="C170" i="4"/>
  <c r="B170" i="4"/>
  <c r="C169" i="4"/>
  <c r="B169" i="4"/>
  <c r="C168" i="4"/>
  <c r="B168" i="4"/>
  <c r="C167" i="4"/>
  <c r="B167" i="4"/>
  <c r="C166" i="4"/>
  <c r="B166" i="4"/>
  <c r="C165" i="4"/>
  <c r="B165" i="4"/>
  <c r="C164" i="4"/>
  <c r="B164" i="4"/>
  <c r="C163" i="4"/>
  <c r="B163" i="4"/>
  <c r="C162" i="4"/>
  <c r="B162" i="4"/>
  <c r="C161" i="4"/>
  <c r="B161" i="4"/>
  <c r="C160" i="4"/>
  <c r="B160" i="4"/>
  <c r="C159" i="4"/>
  <c r="B159" i="4"/>
  <c r="C158" i="4"/>
  <c r="B158" i="4"/>
  <c r="C157" i="4"/>
  <c r="B157" i="4"/>
  <c r="C156" i="4"/>
  <c r="B156" i="4"/>
  <c r="C155" i="4"/>
  <c r="B155" i="4"/>
  <c r="C154" i="4"/>
  <c r="B154" i="4"/>
  <c r="C153" i="4"/>
  <c r="B153" i="4"/>
  <c r="C152" i="4"/>
  <c r="B152" i="4"/>
  <c r="C151" i="4"/>
  <c r="B151" i="4"/>
  <c r="C150" i="4"/>
  <c r="B150" i="4"/>
  <c r="C149" i="4"/>
  <c r="B149" i="4"/>
  <c r="C148" i="4"/>
  <c r="B148" i="4"/>
  <c r="C147" i="4"/>
  <c r="B147" i="4"/>
  <c r="C146" i="4"/>
  <c r="B146" i="4"/>
  <c r="C145" i="4"/>
  <c r="B145" i="4"/>
  <c r="C144" i="4"/>
  <c r="B144" i="4"/>
  <c r="C143" i="4"/>
  <c r="B143" i="4"/>
  <c r="C142" i="4"/>
  <c r="B142" i="4"/>
  <c r="C141" i="4"/>
  <c r="B141" i="4"/>
  <c r="C140" i="4"/>
  <c r="B140" i="4"/>
  <c r="C139" i="4"/>
  <c r="B139" i="4"/>
  <c r="C138" i="4"/>
  <c r="B138" i="4"/>
  <c r="C137" i="4"/>
  <c r="B137" i="4"/>
  <c r="C136" i="4"/>
  <c r="B136" i="4"/>
  <c r="C135" i="4"/>
  <c r="B135" i="4"/>
  <c r="C134" i="4"/>
  <c r="B134" i="4"/>
  <c r="C133" i="4"/>
  <c r="B133" i="4"/>
  <c r="C132" i="4"/>
  <c r="B132" i="4"/>
  <c r="C131" i="4"/>
  <c r="B131" i="4"/>
  <c r="C130" i="4"/>
  <c r="B130" i="4"/>
  <c r="C129" i="4"/>
  <c r="B129" i="4"/>
  <c r="C128" i="4"/>
  <c r="B128" i="4"/>
  <c r="C127" i="4"/>
  <c r="B127" i="4"/>
  <c r="C126" i="4"/>
  <c r="B126" i="4"/>
  <c r="C125" i="4"/>
  <c r="B125" i="4"/>
  <c r="C124" i="4"/>
  <c r="B124" i="4"/>
  <c r="C123" i="4"/>
  <c r="B123" i="4"/>
  <c r="C122" i="4"/>
  <c r="B122" i="4"/>
  <c r="C121" i="4"/>
  <c r="B121" i="4"/>
  <c r="C120" i="4"/>
  <c r="B120" i="4"/>
  <c r="C119" i="4"/>
  <c r="B119" i="4"/>
  <c r="C118" i="4"/>
  <c r="B118" i="4"/>
  <c r="C117" i="4"/>
  <c r="B117" i="4"/>
  <c r="C116" i="4"/>
  <c r="B116" i="4"/>
  <c r="C115" i="4"/>
  <c r="B115" i="4"/>
  <c r="C114" i="4"/>
  <c r="B114" i="4"/>
  <c r="C113" i="4"/>
  <c r="B113" i="4"/>
  <c r="C112" i="4"/>
  <c r="B112" i="4"/>
  <c r="C111" i="4"/>
  <c r="B111" i="4"/>
  <c r="C110" i="4"/>
  <c r="B110" i="4"/>
  <c r="C109" i="4"/>
  <c r="B109" i="4"/>
  <c r="C108" i="4"/>
  <c r="B108" i="4"/>
  <c r="C107" i="4"/>
  <c r="B107" i="4"/>
  <c r="C106" i="4"/>
  <c r="B106" i="4"/>
  <c r="C105" i="4"/>
  <c r="B105" i="4"/>
  <c r="C104" i="4"/>
  <c r="B104" i="4"/>
  <c r="C103" i="4"/>
  <c r="B103" i="4"/>
  <c r="C102" i="4"/>
  <c r="B102" i="4"/>
  <c r="C101" i="4"/>
  <c r="B101" i="4"/>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B7" i="4"/>
  <c r="C6" i="4"/>
  <c r="B6" i="4"/>
  <c r="C5" i="4"/>
  <c r="B5" i="4"/>
  <c r="C4" i="4"/>
  <c r="B4" i="4"/>
  <c r="C3" i="4"/>
  <c r="B3" i="4"/>
  <c r="C2" i="4"/>
  <c r="B2" i="4"/>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l="1"/>
  <c r="A251" i="4"/>
  <c r="A248" i="4"/>
  <c r="A249" i="4"/>
  <c r="A250" i="4"/>
  <c r="A246" i="4"/>
  <c r="A247" i="4"/>
  <c r="A242" i="4"/>
  <c r="A243" i="4"/>
  <c r="A244" i="4"/>
  <c r="A245" i="4"/>
  <c r="A231" i="4"/>
  <c r="A232" i="4"/>
  <c r="A233" i="4"/>
  <c r="A234" i="4"/>
  <c r="A235" i="4"/>
  <c r="A236" i="4"/>
  <c r="A237" i="4"/>
  <c r="A238" i="4"/>
  <c r="A239" i="4"/>
  <c r="A240" i="4"/>
  <c r="A241"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G3" i="1"/>
  <c r="G4" i="1"/>
  <c r="G5" i="1"/>
  <c r="G6" i="1"/>
  <c r="G7" i="1"/>
  <c r="G8" i="1"/>
  <c r="G9" i="1"/>
  <c r="G10" i="1"/>
  <c r="G11" i="1"/>
  <c r="G12" i="1"/>
  <c r="G13" i="1"/>
  <c r="G14" i="1"/>
  <c r="G15" i="1"/>
  <c r="L15" i="1" s="1"/>
  <c r="G16" i="1"/>
  <c r="L16" i="1" s="1"/>
  <c r="G17" i="1"/>
  <c r="L17" i="1" s="1"/>
  <c r="G18" i="1"/>
  <c r="L18" i="1" s="1"/>
  <c r="G19" i="1"/>
  <c r="L19" i="1" s="1"/>
  <c r="G20" i="1"/>
  <c r="L20" i="1" s="1"/>
  <c r="G21" i="1"/>
  <c r="L21" i="1" s="1"/>
  <c r="G22" i="1"/>
  <c r="L22" i="1" s="1"/>
  <c r="G23" i="1"/>
  <c r="L23" i="1" s="1"/>
  <c r="G24" i="1"/>
  <c r="L24" i="1" s="1"/>
  <c r="G25" i="1"/>
  <c r="L25" i="1" s="1"/>
  <c r="G26" i="1"/>
  <c r="L26" i="1" s="1"/>
  <c r="G27" i="1"/>
  <c r="L27" i="1" s="1"/>
  <c r="G28" i="1"/>
  <c r="L28" i="1" s="1"/>
  <c r="G29" i="1"/>
  <c r="L29" i="1" s="1"/>
  <c r="G30" i="1"/>
  <c r="L30" i="1" s="1"/>
  <c r="G31" i="1"/>
  <c r="L31" i="1" s="1"/>
  <c r="G32" i="1"/>
  <c r="L32" i="1" s="1"/>
  <c r="G33" i="1"/>
  <c r="L33" i="1" s="1"/>
  <c r="G34" i="1"/>
  <c r="L34" i="1" s="1"/>
  <c r="G35" i="1"/>
  <c r="L35" i="1" s="1"/>
  <c r="G36" i="1"/>
  <c r="L36" i="1" s="1"/>
  <c r="G37" i="1"/>
  <c r="L37" i="1" s="1"/>
  <c r="G38" i="1"/>
  <c r="L38" i="1" s="1"/>
  <c r="G39" i="1"/>
  <c r="L39" i="1" s="1"/>
  <c r="G40" i="1"/>
  <c r="L40" i="1" s="1"/>
  <c r="G41" i="1"/>
  <c r="L41" i="1" s="1"/>
  <c r="G42" i="1"/>
  <c r="L42" i="1" s="1"/>
  <c r="G43" i="1"/>
  <c r="L43" i="1" s="1"/>
  <c r="G44" i="1"/>
  <c r="L44" i="1" s="1"/>
  <c r="G45" i="1"/>
  <c r="L45" i="1" s="1"/>
  <c r="G46" i="1"/>
  <c r="L46" i="1" s="1"/>
  <c r="G47" i="1"/>
  <c r="L47" i="1" s="1"/>
  <c r="G48" i="1"/>
  <c r="L48" i="1" s="1"/>
  <c r="G49" i="1"/>
  <c r="L49" i="1" s="1"/>
  <c r="G50" i="1"/>
  <c r="L50" i="1" s="1"/>
  <c r="G51" i="1"/>
  <c r="L51" i="1" s="1"/>
  <c r="G52" i="1"/>
  <c r="L52" i="1" s="1"/>
  <c r="G53" i="1"/>
  <c r="L53" i="1" s="1"/>
  <c r="G54" i="1"/>
  <c r="L54" i="1" s="1"/>
  <c r="G55" i="1"/>
  <c r="L55" i="1" s="1"/>
  <c r="G56" i="1"/>
  <c r="L56" i="1" s="1"/>
  <c r="G57" i="1"/>
  <c r="L57" i="1" s="1"/>
  <c r="G58" i="1"/>
  <c r="L58" i="1" s="1"/>
  <c r="G59" i="1"/>
  <c r="L59" i="1" s="1"/>
  <c r="G60" i="1"/>
  <c r="L60" i="1" s="1"/>
  <c r="G61" i="1"/>
  <c r="L61" i="1" s="1"/>
  <c r="G62" i="1"/>
  <c r="L62" i="1" s="1"/>
  <c r="G63" i="1"/>
  <c r="L63" i="1" s="1"/>
  <c r="G64" i="1"/>
  <c r="L64" i="1" s="1"/>
  <c r="G65" i="1"/>
  <c r="L65" i="1" s="1"/>
  <c r="G66" i="1"/>
  <c r="L66" i="1" s="1"/>
  <c r="G67" i="1"/>
  <c r="L67" i="1" s="1"/>
  <c r="G68" i="1"/>
  <c r="L68" i="1" s="1"/>
  <c r="G69" i="1"/>
  <c r="L69" i="1" s="1"/>
  <c r="G70" i="1"/>
  <c r="L70" i="1" s="1"/>
  <c r="G71" i="1"/>
  <c r="L71" i="1" s="1"/>
  <c r="G72" i="1"/>
  <c r="L72" i="1" s="1"/>
  <c r="G73" i="1"/>
  <c r="L73" i="1" s="1"/>
  <c r="G74" i="1"/>
  <c r="L74" i="1" s="1"/>
  <c r="G75" i="1"/>
  <c r="L75" i="1" s="1"/>
  <c r="G76" i="1"/>
  <c r="L76" i="1" s="1"/>
  <c r="G77" i="1"/>
  <c r="L77" i="1" s="1"/>
  <c r="G78" i="1"/>
  <c r="L78" i="1" s="1"/>
  <c r="G79" i="1"/>
  <c r="L79" i="1" s="1"/>
  <c r="G80" i="1"/>
  <c r="L80" i="1" s="1"/>
  <c r="G81" i="1"/>
  <c r="L81" i="1" s="1"/>
  <c r="G82" i="1"/>
  <c r="L82" i="1" s="1"/>
  <c r="G83" i="1"/>
  <c r="L83" i="1" s="1"/>
  <c r="G84" i="1"/>
  <c r="L84" i="1" s="1"/>
  <c r="G85" i="1"/>
  <c r="L85" i="1" s="1"/>
  <c r="G86" i="1"/>
  <c r="L86" i="1" s="1"/>
  <c r="G87" i="1"/>
  <c r="L87" i="1" s="1"/>
  <c r="G88" i="1"/>
  <c r="L88" i="1" s="1"/>
  <c r="G89" i="1"/>
  <c r="L89" i="1" s="1"/>
  <c r="G90" i="1"/>
  <c r="L90" i="1" s="1"/>
  <c r="G91" i="1"/>
  <c r="L91" i="1" s="1"/>
  <c r="G92" i="1"/>
  <c r="L92" i="1" s="1"/>
  <c r="G93" i="1"/>
  <c r="L93" i="1" s="1"/>
  <c r="G94" i="1"/>
  <c r="L94" i="1" s="1"/>
  <c r="G95" i="1"/>
  <c r="L95" i="1" s="1"/>
  <c r="G96" i="1"/>
  <c r="L96" i="1" s="1"/>
  <c r="G97" i="1"/>
  <c r="L97" i="1" s="1"/>
  <c r="G98" i="1"/>
  <c r="L98" i="1" s="1"/>
  <c r="G99" i="1"/>
  <c r="L99" i="1" s="1"/>
  <c r="G100" i="1"/>
  <c r="L100" i="1" s="1"/>
  <c r="G101" i="1"/>
  <c r="L101" i="1" s="1"/>
  <c r="G102" i="1"/>
  <c r="L102" i="1" s="1"/>
  <c r="G103" i="1"/>
  <c r="L103" i="1" s="1"/>
  <c r="G104" i="1"/>
  <c r="L104" i="1" s="1"/>
  <c r="G105" i="1"/>
  <c r="L105" i="1" s="1"/>
  <c r="G106" i="1"/>
  <c r="L106" i="1" s="1"/>
  <c r="G107" i="1"/>
  <c r="L107" i="1" s="1"/>
  <c r="G108" i="1"/>
  <c r="L108" i="1" s="1"/>
  <c r="G109" i="1"/>
  <c r="L109" i="1" s="1"/>
  <c r="G110" i="1"/>
  <c r="L110" i="1" s="1"/>
  <c r="G111" i="1"/>
  <c r="L111" i="1" s="1"/>
  <c r="G112" i="1"/>
  <c r="L112" i="1" s="1"/>
  <c r="G113" i="1"/>
  <c r="L113" i="1" s="1"/>
  <c r="G114" i="1"/>
  <c r="L114" i="1" s="1"/>
  <c r="G115" i="1"/>
  <c r="L115" i="1" s="1"/>
  <c r="G116" i="1"/>
  <c r="L116" i="1" s="1"/>
  <c r="G117" i="1"/>
  <c r="L117" i="1" s="1"/>
  <c r="G118" i="1"/>
  <c r="L118" i="1" s="1"/>
  <c r="G119" i="1"/>
  <c r="L119" i="1" s="1"/>
  <c r="G120" i="1"/>
  <c r="L120" i="1" s="1"/>
  <c r="G121" i="1"/>
  <c r="L121" i="1" s="1"/>
  <c r="G122" i="1"/>
  <c r="L122" i="1" s="1"/>
  <c r="G123" i="1"/>
  <c r="L123" i="1" s="1"/>
  <c r="G124" i="1"/>
  <c r="L124" i="1" s="1"/>
  <c r="G125" i="1"/>
  <c r="L125" i="1" s="1"/>
  <c r="G126" i="1"/>
  <c r="L126" i="1" s="1"/>
  <c r="G127" i="1"/>
  <c r="L127" i="1" s="1"/>
  <c r="G128" i="1"/>
  <c r="L128" i="1" s="1"/>
  <c r="G129" i="1"/>
  <c r="L129" i="1" s="1"/>
  <c r="G130" i="1"/>
  <c r="L130" i="1" s="1"/>
  <c r="G131" i="1"/>
  <c r="L131" i="1" s="1"/>
  <c r="G132" i="1"/>
  <c r="L132" i="1" s="1"/>
  <c r="G133" i="1"/>
  <c r="L133" i="1" s="1"/>
  <c r="G134" i="1"/>
  <c r="L134" i="1" s="1"/>
  <c r="G135" i="1"/>
  <c r="L135" i="1" s="1"/>
  <c r="G136" i="1"/>
  <c r="L136" i="1" s="1"/>
  <c r="G137" i="1"/>
  <c r="L137" i="1" s="1"/>
  <c r="G138" i="1"/>
  <c r="L138" i="1" s="1"/>
  <c r="G139" i="1"/>
  <c r="L139" i="1" s="1"/>
  <c r="G140" i="1"/>
  <c r="L140" i="1" s="1"/>
  <c r="G141" i="1"/>
  <c r="L141" i="1" s="1"/>
  <c r="G142" i="1"/>
  <c r="L142" i="1" s="1"/>
  <c r="G143" i="1"/>
  <c r="L143" i="1" s="1"/>
  <c r="G144" i="1"/>
  <c r="L144" i="1" s="1"/>
  <c r="G145" i="1"/>
  <c r="L145" i="1" s="1"/>
  <c r="G146" i="1"/>
  <c r="L146" i="1" s="1"/>
  <c r="G147" i="1"/>
  <c r="L147" i="1" s="1"/>
  <c r="G148" i="1"/>
  <c r="L148" i="1" s="1"/>
  <c r="G149" i="1"/>
  <c r="L149" i="1" s="1"/>
  <c r="G150" i="1"/>
  <c r="L150" i="1" s="1"/>
  <c r="G151" i="1"/>
  <c r="L151" i="1" s="1"/>
  <c r="G152" i="1"/>
  <c r="L152" i="1" s="1"/>
  <c r="G153" i="1"/>
  <c r="L153" i="1" s="1"/>
  <c r="G154" i="1"/>
  <c r="L154" i="1" s="1"/>
  <c r="G155" i="1"/>
  <c r="L155" i="1" s="1"/>
  <c r="G156" i="1"/>
  <c r="L156" i="1" s="1"/>
  <c r="G157" i="1"/>
  <c r="L157" i="1" s="1"/>
  <c r="G158" i="1"/>
  <c r="L158" i="1" s="1"/>
  <c r="G159" i="1"/>
  <c r="L159" i="1" s="1"/>
  <c r="G160" i="1"/>
  <c r="L160" i="1" s="1"/>
  <c r="G161" i="1"/>
  <c r="L161" i="1" s="1"/>
  <c r="G162" i="1"/>
  <c r="L162" i="1" s="1"/>
  <c r="G163" i="1"/>
  <c r="L163" i="1" s="1"/>
  <c r="G164" i="1"/>
  <c r="L164" i="1" s="1"/>
  <c r="G165" i="1"/>
  <c r="L165" i="1" s="1"/>
  <c r="G166" i="1"/>
  <c r="L166" i="1" s="1"/>
  <c r="G167" i="1"/>
  <c r="L167" i="1" s="1"/>
  <c r="G168" i="1"/>
  <c r="L168" i="1" s="1"/>
  <c r="G169" i="1"/>
  <c r="L169" i="1" s="1"/>
  <c r="G170" i="1"/>
  <c r="L170" i="1" s="1"/>
  <c r="G171" i="1"/>
  <c r="L171" i="1" s="1"/>
  <c r="G172" i="1"/>
  <c r="L172" i="1" s="1"/>
  <c r="G173" i="1"/>
  <c r="L173" i="1" s="1"/>
  <c r="G174" i="1"/>
  <c r="L174" i="1" s="1"/>
  <c r="G175" i="1"/>
  <c r="L175" i="1" s="1"/>
  <c r="G176" i="1"/>
  <c r="L176" i="1" s="1"/>
  <c r="G177" i="1"/>
  <c r="L177" i="1" s="1"/>
  <c r="G178" i="1"/>
  <c r="L178" i="1" s="1"/>
  <c r="G179" i="1"/>
  <c r="L179" i="1" s="1"/>
  <c r="G180" i="1"/>
  <c r="L180" i="1" s="1"/>
  <c r="G181" i="1"/>
  <c r="L181" i="1" s="1"/>
  <c r="G182" i="1"/>
  <c r="L182" i="1" s="1"/>
  <c r="G183" i="1"/>
  <c r="L183" i="1" s="1"/>
  <c r="G184" i="1"/>
  <c r="L184" i="1" s="1"/>
  <c r="G185" i="1"/>
  <c r="L185" i="1" s="1"/>
  <c r="G186" i="1"/>
  <c r="L186" i="1" s="1"/>
  <c r="G187" i="1"/>
  <c r="L187" i="1" s="1"/>
  <c r="G188" i="1"/>
  <c r="L188" i="1" s="1"/>
  <c r="G189" i="1"/>
  <c r="L189" i="1" s="1"/>
  <c r="G190" i="1"/>
  <c r="L190" i="1" s="1"/>
  <c r="G191" i="1"/>
  <c r="L191" i="1" s="1"/>
  <c r="G192" i="1"/>
  <c r="L192" i="1" s="1"/>
  <c r="G193" i="1"/>
  <c r="L193" i="1" s="1"/>
  <c r="G194" i="1"/>
  <c r="L194" i="1" s="1"/>
  <c r="G195" i="1"/>
  <c r="L195" i="1" s="1"/>
  <c r="G196" i="1"/>
  <c r="L196" i="1" s="1"/>
  <c r="G197" i="1"/>
  <c r="L197" i="1" s="1"/>
  <c r="G198" i="1"/>
  <c r="L198" i="1" s="1"/>
  <c r="G199" i="1"/>
  <c r="L199" i="1" s="1"/>
  <c r="G200" i="1"/>
  <c r="L200" i="1" s="1"/>
  <c r="G201" i="1"/>
  <c r="L201" i="1" s="1"/>
  <c r="G202" i="1"/>
  <c r="L202" i="1" s="1"/>
  <c r="G203" i="1"/>
  <c r="L203" i="1" s="1"/>
  <c r="G204" i="1"/>
  <c r="L204" i="1" s="1"/>
  <c r="G205" i="1"/>
  <c r="L205" i="1" s="1"/>
  <c r="G206" i="1"/>
  <c r="L206" i="1" s="1"/>
  <c r="G207" i="1"/>
  <c r="L207" i="1" s="1"/>
  <c r="G208" i="1"/>
  <c r="L208" i="1" s="1"/>
  <c r="G209" i="1"/>
  <c r="L209" i="1" s="1"/>
  <c r="G210" i="1"/>
  <c r="L210" i="1" s="1"/>
  <c r="G211" i="1"/>
  <c r="L211" i="1" s="1"/>
  <c r="G212" i="1"/>
  <c r="L212" i="1" s="1"/>
  <c r="G213" i="1"/>
  <c r="L213" i="1" s="1"/>
  <c r="G214" i="1"/>
  <c r="L214" i="1" s="1"/>
  <c r="G215" i="1"/>
  <c r="L215" i="1" s="1"/>
  <c r="G216" i="1"/>
  <c r="L216" i="1" s="1"/>
  <c r="G217" i="1"/>
  <c r="L217" i="1" s="1"/>
  <c r="G218" i="1"/>
  <c r="L218" i="1" s="1"/>
  <c r="G219" i="1"/>
  <c r="L219" i="1" s="1"/>
  <c r="G220" i="1"/>
  <c r="L220" i="1" s="1"/>
  <c r="G221" i="1"/>
  <c r="L221" i="1" s="1"/>
  <c r="G222" i="1"/>
  <c r="L222" i="1" s="1"/>
  <c r="G223" i="1"/>
  <c r="L223" i="1" s="1"/>
  <c r="G224" i="1"/>
  <c r="L224" i="1" s="1"/>
  <c r="G225" i="1"/>
  <c r="L225" i="1" s="1"/>
  <c r="G226" i="1"/>
  <c r="L226" i="1" s="1"/>
  <c r="G227" i="1"/>
  <c r="L227" i="1" s="1"/>
  <c r="G228" i="1"/>
  <c r="L228" i="1" s="1"/>
  <c r="G229" i="1"/>
  <c r="L229" i="1" s="1"/>
  <c r="G230" i="1"/>
  <c r="L230" i="1" s="1"/>
  <c r="G231" i="1"/>
  <c r="L231" i="1" s="1"/>
  <c r="G232" i="1"/>
  <c r="L232" i="1" s="1"/>
  <c r="G233" i="1"/>
  <c r="L233" i="1" s="1"/>
  <c r="G234" i="1"/>
  <c r="L234" i="1" s="1"/>
  <c r="G235" i="1"/>
  <c r="L235" i="1" s="1"/>
  <c r="G236" i="1"/>
  <c r="L236" i="1" s="1"/>
  <c r="G237" i="1"/>
  <c r="L237" i="1" s="1"/>
  <c r="G238" i="1"/>
  <c r="L238" i="1" s="1"/>
  <c r="G239" i="1"/>
  <c r="L239" i="1" s="1"/>
  <c r="G240" i="1"/>
  <c r="L240" i="1" s="1"/>
  <c r="G241" i="1"/>
  <c r="L241" i="1" s="1"/>
  <c r="G242" i="1"/>
  <c r="L242" i="1" s="1"/>
  <c r="G243" i="1"/>
  <c r="L243" i="1" s="1"/>
  <c r="G244" i="1"/>
  <c r="L244" i="1" s="1"/>
  <c r="G245" i="1"/>
  <c r="L245" i="1" s="1"/>
  <c r="G246" i="1"/>
  <c r="L246" i="1" s="1"/>
  <c r="G247" i="1"/>
  <c r="L247" i="1" s="1"/>
  <c r="G248" i="1"/>
  <c r="L248" i="1" s="1"/>
  <c r="G249" i="1"/>
  <c r="L249" i="1" s="1"/>
  <c r="G250" i="1"/>
  <c r="L250" i="1" s="1"/>
  <c r="G251" i="1"/>
  <c r="L251" i="1" s="1"/>
  <c r="G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O3" i="1"/>
  <c r="O4" i="1"/>
  <c r="O5" i="1"/>
  <c r="O6"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A2" i="4"/>
  <c r="L4" i="1" l="1"/>
  <c r="D4" i="4" s="1"/>
  <c r="B3" i="5"/>
  <c r="L14" i="1"/>
  <c r="B13" i="5"/>
  <c r="L13" i="1"/>
  <c r="B12" i="5"/>
  <c r="L12" i="1"/>
  <c r="B11" i="5"/>
  <c r="L3" i="1"/>
  <c r="P3" i="1" s="1"/>
  <c r="B2" i="5"/>
  <c r="L11" i="1"/>
  <c r="P11" i="1" s="1"/>
  <c r="B10" i="5"/>
  <c r="L10" i="1"/>
  <c r="B9" i="5"/>
  <c r="L9" i="1"/>
  <c r="B8" i="5"/>
  <c r="L8" i="1"/>
  <c r="B7" i="5"/>
  <c r="L7" i="1"/>
  <c r="B6" i="5"/>
  <c r="L6" i="1"/>
  <c r="P6" i="1" s="1"/>
  <c r="B5" i="5"/>
  <c r="L5" i="1"/>
  <c r="D5" i="4" s="1"/>
  <c r="B4" i="5"/>
  <c r="P208" i="1"/>
  <c r="D208" i="4"/>
  <c r="P136" i="1"/>
  <c r="D136" i="4"/>
  <c r="P88" i="1"/>
  <c r="D88" i="4"/>
  <c r="P52" i="1"/>
  <c r="D52" i="4"/>
  <c r="P16" i="1"/>
  <c r="D16" i="4"/>
  <c r="P75" i="1"/>
  <c r="D75" i="4"/>
  <c r="P242" i="1"/>
  <c r="D242" i="4"/>
  <c r="P218" i="1"/>
  <c r="D218" i="4"/>
  <c r="P194" i="1"/>
  <c r="D194" i="4"/>
  <c r="P170" i="1"/>
  <c r="D170" i="4"/>
  <c r="P146" i="1"/>
  <c r="D146" i="4"/>
  <c r="P122" i="1"/>
  <c r="D122" i="4"/>
  <c r="P98" i="1"/>
  <c r="D98" i="4"/>
  <c r="P74" i="1"/>
  <c r="D74" i="4"/>
  <c r="P50" i="1"/>
  <c r="D50" i="4"/>
  <c r="P26" i="1"/>
  <c r="D26" i="4"/>
  <c r="P241" i="1"/>
  <c r="D241" i="4"/>
  <c r="P229" i="1"/>
  <c r="D229" i="4"/>
  <c r="P217" i="1"/>
  <c r="D217" i="4"/>
  <c r="P205" i="1"/>
  <c r="D205" i="4"/>
  <c r="P193" i="1"/>
  <c r="D193" i="4"/>
  <c r="P181" i="1"/>
  <c r="D181" i="4"/>
  <c r="P169" i="1"/>
  <c r="D169" i="4"/>
  <c r="P157" i="1"/>
  <c r="D157" i="4"/>
  <c r="P145" i="1"/>
  <c r="D145" i="4"/>
  <c r="P133" i="1"/>
  <c r="D133" i="4"/>
  <c r="P121" i="1"/>
  <c r="D121" i="4"/>
  <c r="P109" i="1"/>
  <c r="D109" i="4"/>
  <c r="P97" i="1"/>
  <c r="D97" i="4"/>
  <c r="P85" i="1"/>
  <c r="D85" i="4"/>
  <c r="P73" i="1"/>
  <c r="D73" i="4"/>
  <c r="P61" i="1"/>
  <c r="D61" i="4"/>
  <c r="P49" i="1"/>
  <c r="D49" i="4"/>
  <c r="P37" i="1"/>
  <c r="D37" i="4"/>
  <c r="P25" i="1"/>
  <c r="D25" i="4"/>
  <c r="P13" i="1"/>
  <c r="D13" i="4"/>
  <c r="P244" i="1"/>
  <c r="D244" i="4"/>
  <c r="P172" i="1"/>
  <c r="D172" i="4"/>
  <c r="P124" i="1"/>
  <c r="D124" i="4"/>
  <c r="P76" i="1"/>
  <c r="D76" i="4"/>
  <c r="P28" i="1"/>
  <c r="D28" i="4"/>
  <c r="P243" i="1"/>
  <c r="D243" i="4"/>
  <c r="P183" i="1"/>
  <c r="D183" i="4"/>
  <c r="P135" i="1"/>
  <c r="D135" i="4"/>
  <c r="P111" i="1"/>
  <c r="D111" i="4"/>
  <c r="P51" i="1"/>
  <c r="D51" i="4"/>
  <c r="P230" i="1"/>
  <c r="D230" i="4"/>
  <c r="P206" i="1"/>
  <c r="D206" i="4"/>
  <c r="P182" i="1"/>
  <c r="D182" i="4"/>
  <c r="P158" i="1"/>
  <c r="D158" i="4"/>
  <c r="P134" i="1"/>
  <c r="D134" i="4"/>
  <c r="P110" i="1"/>
  <c r="D110" i="4"/>
  <c r="P86" i="1"/>
  <c r="D86" i="4"/>
  <c r="P62" i="1"/>
  <c r="D62" i="4"/>
  <c r="P38" i="1"/>
  <c r="D38" i="4"/>
  <c r="P14" i="1"/>
  <c r="D14" i="4"/>
  <c r="P240" i="1"/>
  <c r="D240" i="4"/>
  <c r="P228" i="1"/>
  <c r="D228" i="4"/>
  <c r="P216" i="1"/>
  <c r="D216" i="4"/>
  <c r="P204" i="1"/>
  <c r="D204" i="4"/>
  <c r="P192" i="1"/>
  <c r="D192" i="4"/>
  <c r="P180" i="1"/>
  <c r="D180" i="4"/>
  <c r="P168" i="1"/>
  <c r="D168" i="4"/>
  <c r="P156" i="1"/>
  <c r="D156" i="4"/>
  <c r="P144" i="1"/>
  <c r="D144" i="4"/>
  <c r="P132" i="1"/>
  <c r="D132" i="4"/>
  <c r="P120" i="1"/>
  <c r="D120" i="4"/>
  <c r="P108" i="1"/>
  <c r="D108" i="4"/>
  <c r="P96" i="1"/>
  <c r="D96" i="4"/>
  <c r="P84" i="1"/>
  <c r="D84" i="4"/>
  <c r="P72" i="1"/>
  <c r="D72" i="4"/>
  <c r="P60" i="1"/>
  <c r="D60" i="4"/>
  <c r="P48" i="1"/>
  <c r="D48" i="4"/>
  <c r="P36" i="1"/>
  <c r="D36" i="4"/>
  <c r="P24" i="1"/>
  <c r="D24" i="4"/>
  <c r="P12" i="1"/>
  <c r="D12" i="4"/>
  <c r="P160" i="1"/>
  <c r="D160" i="4"/>
  <c r="P112" i="1"/>
  <c r="D112" i="4"/>
  <c r="P64" i="1"/>
  <c r="D64" i="4"/>
  <c r="P40" i="1"/>
  <c r="D40" i="4"/>
  <c r="P159" i="1"/>
  <c r="D159" i="4"/>
  <c r="P203" i="1"/>
  <c r="D203" i="4"/>
  <c r="P143" i="1"/>
  <c r="D143" i="4"/>
  <c r="P83" i="1"/>
  <c r="D83" i="4"/>
  <c r="P250" i="1"/>
  <c r="D250" i="4"/>
  <c r="P238" i="1"/>
  <c r="D238" i="4"/>
  <c r="P226" i="1"/>
  <c r="D226" i="4"/>
  <c r="P214" i="1"/>
  <c r="D214" i="4"/>
  <c r="P202" i="1"/>
  <c r="D202" i="4"/>
  <c r="P190" i="1"/>
  <c r="D190" i="4"/>
  <c r="P178" i="1"/>
  <c r="D178" i="4"/>
  <c r="P166" i="1"/>
  <c r="D166" i="4"/>
  <c r="P154" i="1"/>
  <c r="D154" i="4"/>
  <c r="P142" i="1"/>
  <c r="D142" i="4"/>
  <c r="P130" i="1"/>
  <c r="D130" i="4"/>
  <c r="P118" i="1"/>
  <c r="D118" i="4"/>
  <c r="P106" i="1"/>
  <c r="D106" i="4"/>
  <c r="P94" i="1"/>
  <c r="D94" i="4"/>
  <c r="P82" i="1"/>
  <c r="D82" i="4"/>
  <c r="P70" i="1"/>
  <c r="D70" i="4"/>
  <c r="P58" i="1"/>
  <c r="D58" i="4"/>
  <c r="P46" i="1"/>
  <c r="D46" i="4"/>
  <c r="P34" i="1"/>
  <c r="D34" i="4"/>
  <c r="P22" i="1"/>
  <c r="D22" i="4"/>
  <c r="P10" i="1"/>
  <c r="D10" i="4"/>
  <c r="P220" i="1"/>
  <c r="D220" i="4"/>
  <c r="P207" i="1"/>
  <c r="D207" i="4"/>
  <c r="P63" i="1"/>
  <c r="D63" i="4"/>
  <c r="P251" i="1"/>
  <c r="D251" i="4"/>
  <c r="P191" i="1"/>
  <c r="D191" i="4"/>
  <c r="P131" i="1"/>
  <c r="D131" i="4"/>
  <c r="P59" i="1"/>
  <c r="D59" i="4"/>
  <c r="P249" i="1"/>
  <c r="D249" i="4"/>
  <c r="P237" i="1"/>
  <c r="D237" i="4"/>
  <c r="P225" i="1"/>
  <c r="D225" i="4"/>
  <c r="P213" i="1"/>
  <c r="D213" i="4"/>
  <c r="P201" i="1"/>
  <c r="D201" i="4"/>
  <c r="P189" i="1"/>
  <c r="D189" i="4"/>
  <c r="P177" i="1"/>
  <c r="D177" i="4"/>
  <c r="P165" i="1"/>
  <c r="D165" i="4"/>
  <c r="P153" i="1"/>
  <c r="D153" i="4"/>
  <c r="P141" i="1"/>
  <c r="D141" i="4"/>
  <c r="P129" i="1"/>
  <c r="D129" i="4"/>
  <c r="P117" i="1"/>
  <c r="D117" i="4"/>
  <c r="P105" i="1"/>
  <c r="D105" i="4"/>
  <c r="P93" i="1"/>
  <c r="D93" i="4"/>
  <c r="P81" i="1"/>
  <c r="D81" i="4"/>
  <c r="P69" i="1"/>
  <c r="D69" i="4"/>
  <c r="P57" i="1"/>
  <c r="D57" i="4"/>
  <c r="P45" i="1"/>
  <c r="D45" i="4"/>
  <c r="P33" i="1"/>
  <c r="D33" i="4"/>
  <c r="P21" i="1"/>
  <c r="D21" i="4"/>
  <c r="P9" i="1"/>
  <c r="D9" i="4"/>
  <c r="P184" i="1"/>
  <c r="D184" i="4"/>
  <c r="P195" i="1"/>
  <c r="D195" i="4"/>
  <c r="P87" i="1"/>
  <c r="D87" i="4"/>
  <c r="P215" i="1"/>
  <c r="D215" i="4"/>
  <c r="P167" i="1"/>
  <c r="D167" i="4"/>
  <c r="P107" i="1"/>
  <c r="D107" i="4"/>
  <c r="P47" i="1"/>
  <c r="D47" i="4"/>
  <c r="P248" i="1"/>
  <c r="D248" i="4"/>
  <c r="P236" i="1"/>
  <c r="D236" i="4"/>
  <c r="P224" i="1"/>
  <c r="D224" i="4"/>
  <c r="P212" i="1"/>
  <c r="D212" i="4"/>
  <c r="P200" i="1"/>
  <c r="D200" i="4"/>
  <c r="P188" i="1"/>
  <c r="D188" i="4"/>
  <c r="P176" i="1"/>
  <c r="D176" i="4"/>
  <c r="P164" i="1"/>
  <c r="D164" i="4"/>
  <c r="P152" i="1"/>
  <c r="D152" i="4"/>
  <c r="P140" i="1"/>
  <c r="D140" i="4"/>
  <c r="P128" i="1"/>
  <c r="D128" i="4"/>
  <c r="P116" i="1"/>
  <c r="D116" i="4"/>
  <c r="P104" i="1"/>
  <c r="D104" i="4"/>
  <c r="P92" i="1"/>
  <c r="D92" i="4"/>
  <c r="P80" i="1"/>
  <c r="D80" i="4"/>
  <c r="P68" i="1"/>
  <c r="D68" i="4"/>
  <c r="P56" i="1"/>
  <c r="D56" i="4"/>
  <c r="P44" i="1"/>
  <c r="D44" i="4"/>
  <c r="P32" i="1"/>
  <c r="D32" i="4"/>
  <c r="P20" i="1"/>
  <c r="D20" i="4"/>
  <c r="P8" i="1"/>
  <c r="D8" i="4"/>
  <c r="P196" i="1"/>
  <c r="D196" i="4"/>
  <c r="P219" i="1"/>
  <c r="D219" i="4"/>
  <c r="P171" i="1"/>
  <c r="D171" i="4"/>
  <c r="P123" i="1"/>
  <c r="D123" i="4"/>
  <c r="P99" i="1"/>
  <c r="D99" i="4"/>
  <c r="P15" i="1"/>
  <c r="D15" i="4"/>
  <c r="P227" i="1"/>
  <c r="D227" i="4"/>
  <c r="P155" i="1"/>
  <c r="D155" i="4"/>
  <c r="P95" i="1"/>
  <c r="D95" i="4"/>
  <c r="P35" i="1"/>
  <c r="D35" i="4"/>
  <c r="P247" i="1"/>
  <c r="D247" i="4"/>
  <c r="P235" i="1"/>
  <c r="D235" i="4"/>
  <c r="P223" i="1"/>
  <c r="D223" i="4"/>
  <c r="P211" i="1"/>
  <c r="D211" i="4"/>
  <c r="P199" i="1"/>
  <c r="D199" i="4"/>
  <c r="P187" i="1"/>
  <c r="D187" i="4"/>
  <c r="P175" i="1"/>
  <c r="D175" i="4"/>
  <c r="P163" i="1"/>
  <c r="D163" i="4"/>
  <c r="P151" i="1"/>
  <c r="D151" i="4"/>
  <c r="P139" i="1"/>
  <c r="D139" i="4"/>
  <c r="P127" i="1"/>
  <c r="D127" i="4"/>
  <c r="P115" i="1"/>
  <c r="D115" i="4"/>
  <c r="P103" i="1"/>
  <c r="D103" i="4"/>
  <c r="P91" i="1"/>
  <c r="D91" i="4"/>
  <c r="P79" i="1"/>
  <c r="D79" i="4"/>
  <c r="P67" i="1"/>
  <c r="D67" i="4"/>
  <c r="P55" i="1"/>
  <c r="D55" i="4"/>
  <c r="P43" i="1"/>
  <c r="D43" i="4"/>
  <c r="P31" i="1"/>
  <c r="D31" i="4"/>
  <c r="P19" i="1"/>
  <c r="D19" i="4"/>
  <c r="P7" i="1"/>
  <c r="D7" i="4"/>
  <c r="P232" i="1"/>
  <c r="D232" i="4"/>
  <c r="P100" i="1"/>
  <c r="D100" i="4"/>
  <c r="P231" i="1"/>
  <c r="D231" i="4"/>
  <c r="P147" i="1"/>
  <c r="D147" i="4"/>
  <c r="P39" i="1"/>
  <c r="D39" i="4"/>
  <c r="P239" i="1"/>
  <c r="D239" i="4"/>
  <c r="P179" i="1"/>
  <c r="D179" i="4"/>
  <c r="P119" i="1"/>
  <c r="D119" i="4"/>
  <c r="P71" i="1"/>
  <c r="D71" i="4"/>
  <c r="P23" i="1"/>
  <c r="D23" i="4"/>
  <c r="P246" i="1"/>
  <c r="D246" i="4"/>
  <c r="P234" i="1"/>
  <c r="D234" i="4"/>
  <c r="P222" i="1"/>
  <c r="D222" i="4"/>
  <c r="P210" i="1"/>
  <c r="D210" i="4"/>
  <c r="P198" i="1"/>
  <c r="D198" i="4"/>
  <c r="P186" i="1"/>
  <c r="D186" i="4"/>
  <c r="P174" i="1"/>
  <c r="D174" i="4"/>
  <c r="P162" i="1"/>
  <c r="D162" i="4"/>
  <c r="P150" i="1"/>
  <c r="D150" i="4"/>
  <c r="P138" i="1"/>
  <c r="D138" i="4"/>
  <c r="P126" i="1"/>
  <c r="D126" i="4"/>
  <c r="P114" i="1"/>
  <c r="D114" i="4"/>
  <c r="P102" i="1"/>
  <c r="D102" i="4"/>
  <c r="P90" i="1"/>
  <c r="D90" i="4"/>
  <c r="P78" i="1"/>
  <c r="D78" i="4"/>
  <c r="P66" i="1"/>
  <c r="D66" i="4"/>
  <c r="P54" i="1"/>
  <c r="D54" i="4"/>
  <c r="P42" i="1"/>
  <c r="D42" i="4"/>
  <c r="P30" i="1"/>
  <c r="D30" i="4"/>
  <c r="P18" i="1"/>
  <c r="D18" i="4"/>
  <c r="P148" i="1"/>
  <c r="D148" i="4"/>
  <c r="P27" i="1"/>
  <c r="D27" i="4"/>
  <c r="P245" i="1"/>
  <c r="D245" i="4"/>
  <c r="P233" i="1"/>
  <c r="D233" i="4"/>
  <c r="P221" i="1"/>
  <c r="D221" i="4"/>
  <c r="P209" i="1"/>
  <c r="D209" i="4"/>
  <c r="P197" i="1"/>
  <c r="D197" i="4"/>
  <c r="P185" i="1"/>
  <c r="D185" i="4"/>
  <c r="P173" i="1"/>
  <c r="D173" i="4"/>
  <c r="P161" i="1"/>
  <c r="D161" i="4"/>
  <c r="P149" i="1"/>
  <c r="D149" i="4"/>
  <c r="P137" i="1"/>
  <c r="D137" i="4"/>
  <c r="P125" i="1"/>
  <c r="D125" i="4"/>
  <c r="P113" i="1"/>
  <c r="D113" i="4"/>
  <c r="P101" i="1"/>
  <c r="D101" i="4"/>
  <c r="P89" i="1"/>
  <c r="D89" i="4"/>
  <c r="P77" i="1"/>
  <c r="D77" i="4"/>
  <c r="P65" i="1"/>
  <c r="D65" i="4"/>
  <c r="P53" i="1"/>
  <c r="D53" i="4"/>
  <c r="P41" i="1"/>
  <c r="D41" i="4"/>
  <c r="P29" i="1"/>
  <c r="D29" i="4"/>
  <c r="P17" i="1"/>
  <c r="D17" i="4"/>
  <c r="L2" i="1"/>
  <c r="D2" i="4" s="1"/>
  <c r="V2" i="1"/>
  <c r="P4" i="1"/>
  <c r="D3" i="4" l="1"/>
  <c r="D6" i="4"/>
  <c r="D11" i="4"/>
  <c r="P5" i="1"/>
  <c r="P2" i="1"/>
  <c r="V3" i="1"/>
  <c r="C7" i="4"/>
  <c r="B6" i="6"/>
  <c r="B7" i="1"/>
  <c r="O7" i="1"/>
</calcChain>
</file>

<file path=xl/sharedStrings.xml><?xml version="1.0" encoding="utf-8"?>
<sst xmlns="http://schemas.openxmlformats.org/spreadsheetml/2006/main" count="1862" uniqueCount="323">
  <si>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</si>
  <si>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</si>
  <si>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</si>
  <si>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</si>
  <si>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</si>
  <si>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</si>
  <si>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</si>
  <si>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</si>
  <si>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</si>
  <si>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</si>
  <si>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</si>
  <si>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</si>
  <si>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</si>
  <si>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</si>
  <si>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</si>
  <si>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</si>
  <si>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</si>
  <si>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</si>
  <si>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</si>
  <si>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</si>
  <si>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</si>
  <si>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</si>
  <si>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</si>
  <si>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</si>
  <si>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</si>
  <si>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</si>
  <si>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</si>
  <si>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</si>
  <si>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</si>
  <si>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</si>
  <si>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</si>
  <si>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</si>
  <si>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</si>
  <si>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</si>
  <si>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</si>
  <si>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</si>
  <si>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</si>
  <si>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</si>
  <si>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</si>
  <si>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</si>
  <si>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</si>
  <si>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</si>
  <si>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</si>
  <si>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</si>
  <si>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</si>
  <si>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</si>
  <si>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</si>
  <si>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</si>
  <si>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</si>
  <si>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</si>
  <si>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</si>
  <si>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</si>
  <si>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</si>
  <si>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</si>
  <si>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</si>
  <si>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</si>
  <si>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</si>
  <si>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</si>
  <si>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</si>
  <si>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</si>
  <si>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</si>
  <si>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</si>
  <si>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</si>
  <si>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</si>
  <si>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</si>
  <si>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</si>
  <si>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</si>
  <si>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</si>
  <si>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</si>
  <si>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</si>
  <si>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</si>
  <si>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</si>
  <si>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</si>
  <si>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</si>
  <si>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</si>
  <si>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</si>
  <si>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</si>
  <si>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</si>
  <si>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</si>
  <si>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</si>
  <si>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</si>
  <si>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</si>
  <si>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</si>
  <si>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</si>
  <si>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</si>
  <si>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</si>
  <si>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</si>
  <si>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</si>
  <si>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</si>
  <si>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</si>
  <si>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</si>
  <si>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</si>
  <si>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</si>
  <si>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</si>
  <si>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</si>
  <si>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</si>
  <si>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</si>
  <si>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</si>
  <si>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</si>
  <si>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</si>
  <si>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</si>
  <si>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</si>
  <si>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</si>
  <si>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</si>
  <si>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</si>
  <si>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</si>
  <si>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</si>
  <si>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</si>
  <si>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</si>
  <si>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</si>
  <si>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</si>
  <si>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</si>
  <si>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</si>
  <si>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</si>
  <si>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</si>
  <si>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</si>
  <si>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</si>
  <si>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</si>
  <si>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</si>
  <si>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</si>
  <si>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</si>
  <si>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</si>
  <si>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</si>
  <si>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</si>
  <si>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</si>
  <si>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</si>
  <si>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</si>
  <si>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</si>
  <si>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</si>
  <si>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</si>
  <si>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</si>
  <si>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</si>
  <si>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</si>
  <si>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</si>
  <si>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</si>
  <si>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</si>
  <si>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</si>
  <si>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</si>
  <si>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</si>
  <si>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</si>
  <si>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</si>
  <si>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</si>
  <si>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</si>
  <si>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</si>
  <si>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</si>
  <si>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</si>
  <si>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</si>
  <si>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</si>
  <si>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</si>
  <si>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</si>
  <si>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</si>
  <si>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</si>
  <si>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</si>
  <si>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</si>
  <si>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</si>
  <si>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</si>
  <si>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</si>
  <si>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</si>
  <si>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</si>
  <si>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</si>
  <si>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</si>
  <si>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</si>
  <si>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</si>
  <si>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</si>
  <si>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</si>
  <si>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</si>
  <si>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</si>
  <si>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</si>
  <si>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</si>
  <si>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</si>
  <si>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</si>
  <si>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</si>
  <si>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</si>
  <si>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</si>
  <si>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</si>
  <si>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</si>
  <si>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</si>
  <si>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</si>
  <si>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</si>
  <si>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</si>
  <si>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</si>
  <si>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</si>
  <si>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</si>
  <si>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</si>
  <si>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</si>
  <si>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</si>
  <si>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</si>
  <si>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</si>
  <si>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</si>
  <si>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</si>
  <si>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</si>
  <si>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</si>
  <si>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</si>
  <si>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</si>
  <si>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</si>
  <si>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</si>
  <si>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</si>
  <si>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</si>
  <si>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</si>
  <si>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</si>
  <si>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</si>
  <si>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</si>
  <si>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</si>
  <si>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</si>
  <si>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</si>
  <si>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</si>
  <si>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</si>
  <si>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</si>
  <si>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</si>
  <si>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</si>
  <si>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</si>
  <si>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</si>
  <si>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</si>
  <si>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</si>
  <si>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</si>
  <si>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</si>
  <si>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</si>
  <si>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</si>
  <si>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</si>
  <si>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</si>
  <si>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</si>
  <si>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</si>
  <si>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</si>
  <si>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</si>
  <si>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</si>
  <si>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</si>
  <si>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</si>
  <si>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</si>
  <si>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</si>
  <si>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</si>
  <si>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</si>
  <si>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</si>
  <si>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</si>
  <si>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</si>
  <si>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</si>
  <si>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</si>
  <si>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</si>
  <si>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</si>
  <si>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</si>
  <si>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</si>
  <si>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</si>
  <si>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</si>
  <si>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</si>
  <si>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</si>
  <si>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</si>
  <si>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</si>
  <si>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</si>
  <si>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</si>
  <si>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</si>
  <si>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</si>
  <si>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</si>
  <si>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</si>
  <si>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</si>
  <si>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</si>
  <si>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</si>
  <si>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</si>
  <si>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</si>
  <si>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</si>
  <si>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</si>
  <si>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</si>
  <si>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</si>
  <si>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</si>
  <si>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</si>
  <si>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</si>
  <si>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</si>
  <si>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</si>
  <si>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</si>
  <si>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</si>
  <si>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</si>
  <si>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</si>
  <si>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</si>
  <si>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</si>
  <si>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</si>
  <si>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</si>
  <si>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</si>
  <si>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</si>
  <si>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</si>
  <si>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</si>
  <si>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</si>
  <si>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</si>
  <si>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</si>
  <si>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</si>
  <si>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</si>
  <si>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</si>
  <si>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</si>
  <si>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</si>
  <si>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</si>
  <si>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</si>
  <si>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</si>
  <si>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</si>
  <si>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</si>
  <si>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</si>
  <si>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</si>
  <si>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</si>
  <si>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</si>
  <si>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</si>
  <si>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</si>
  <si>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</si>
  <si>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</si>
  <si>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</si>
  <si>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</si>
  <si>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</si>
  <si>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</si>
  <si>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Sum of Total Sales</t>
  </si>
  <si>
    <t>Column Labels</t>
  </si>
  <si>
    <t>Row Labels</t>
  </si>
  <si>
    <t>Grand Total</t>
  </si>
  <si>
    <t>Sum of Price</t>
  </si>
  <si>
    <t>Sum of Quantity</t>
  </si>
  <si>
    <t>customer loc</t>
  </si>
  <si>
    <t>high sales/low sales</t>
  </si>
  <si>
    <t>order month-year</t>
  </si>
  <si>
    <t>profit</t>
  </si>
  <si>
    <t>high/med/low profit</t>
  </si>
  <si>
    <t>paid/not paid</t>
  </si>
  <si>
    <t>show me the total sales where category is footwear</t>
  </si>
  <si>
    <t>show me the total Profit where location is new york</t>
  </si>
  <si>
    <t>OrderID</t>
  </si>
  <si>
    <t>sales</t>
  </si>
  <si>
    <t>payment mode</t>
  </si>
  <si>
    <t>price</t>
  </si>
  <si>
    <t>date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</si>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</sst>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79998168889431442"/>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2" borderId="0" xfId="0" applyFill="1"/>
    <xf numFmtId="0" fontId="0" fillId="3" borderId="1" xfId="0" applyFont="1" applyFill="1" applyBorder="1"/>
    <xf numFmtId="0" fontId="0" fillId="0" borderId="1" xfId="0" applyFont="1" applyBorder="1"/>
    <xf numFmtId="0" fontId="0" fillId="0" borderId="0" xfId="0" applyNumberFormat="1"/>
    <xf numFmtId="0" fontId="1" fillId="4" borderId="0" xfId="0" applyFont="1" applyFill="1"/>
    <xf numFmtId="0" fontId="0" fillId="4" borderId="0" xfId="0" applyFill="1"/>
    <xf numFmtId="0" fontId="0" fillId="0" borderId="0" xfId="0" applyFill="1"/>
    <xf numFmtId="0" fontId="1" fillId="5" borderId="0" xfId="0" applyFont="1" applyFill="1"/>
    <xf numFmtId="0" fontId="0" fillId="6" borderId="2" xfId="0" applyFill="1" applyBorder="1"/>
    <xf numFmtId="0" fontId="0" fillId="7" borderId="2" xfId="0" applyFill="1" applyBorder="1"/>
  </cellXfs>
  <cellStyles count="1">
    <cellStyle name="Normal" xfId="0" builtinId="0"/>
  </cellStyles>
  <dxfs count="4">
    <dxf>
      <font>
        <strike val="0"/>
        <outline val="0"/>
        <shadow val="0"/>
        <u val="none"/>
        <vertAlign val="baseline"/>
        <sz val="11"/>
        <color auto="1"/>
        <name val="Calibri"/>
        <family val="2"/>
        <scheme val="minor"/>
      </font>
      <fill>
        <patternFill patternType="solid">
          <fgColor indexed="64"/>
          <bgColor theme="4" tint="0.39997558519241921"/>
        </patternFill>
      </fill>
    </dxf>
    <dxf>
      <font>
        <color rgb="FF9C0006"/>
      </font>
      <fill>
        <patternFill>
          <bgColor rgb="FFFFC7CE"/>
        </patternFill>
      </fill>
    </dxf>
    <dxf>
      <numFmt numFmtId="0" formatCode="General"/>
    </dxf>
    <dxf>
      <numFmt numFmtId="19" formatCode="dd/mm/yyyy"/>
    </dxf>
  </dxfs>
  <tableStyles count="0" defaultTableStyle="TableStyleMedium2" defaultPivotStyle="PivotStyleLight16"/>
  <colors>
    <mruColors>
      <color rgb="FFFFCCFF"/>
      <color rgb="FFCC99FF"/>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Books</c:v>
                </c:pt>
              </c:strCache>
            </c:strRef>
          </c:tx>
          <c:spPr>
            <a:solidFill>
              <a:schemeClr val="accent1"/>
            </a:solidFill>
            <a:ln>
              <a:noFill/>
            </a:ln>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Sheet4!$B$5:$B$15</c:f>
              <c:numCache>
                <c:formatCode>General</c:formatCode>
                <c:ptCount val="10"/>
                <c:pt idx="0">
                  <c:v>60500</c:v>
                </c:pt>
              </c:numCache>
            </c:numRef>
          </c:val>
          <c:extLst>
            <c:ext xmlns:c16="http://schemas.microsoft.com/office/drawing/2014/chart" uri="{C3380CC4-5D6E-409C-BE32-E72D297353CC}">
              <c16:uniqueId val="{00000000-B31C-4EF5-8311-D2E554E9B6C9}"/>
            </c:ext>
          </c:extLst>
        </c:ser>
        <c:ser>
          <c:idx val="1"/>
          <c:order val="1"/>
          <c:tx>
            <c:strRef>
              <c:f>Sheet4!$C$3:$C$4</c:f>
              <c:strCache>
                <c:ptCount val="1"/>
                <c:pt idx="0">
                  <c:v>Clothing</c:v>
                </c:pt>
              </c:strCache>
            </c:strRef>
          </c:tx>
          <c:spPr>
            <a:solidFill>
              <a:schemeClr val="accent2"/>
            </a:solidFill>
            <a:ln>
              <a:noFill/>
            </a:ln>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Sheet4!$C$5:$C$15</c:f>
              <c:numCache>
                <c:formatCode>General</c:formatCode>
                <c:ptCount val="10"/>
                <c:pt idx="2">
                  <c:v>44392</c:v>
                </c:pt>
                <c:pt idx="8">
                  <c:v>36400</c:v>
                </c:pt>
              </c:numCache>
            </c:numRef>
          </c:val>
          <c:extLst>
            <c:ext xmlns:c16="http://schemas.microsoft.com/office/drawing/2014/chart" uri="{C3380CC4-5D6E-409C-BE32-E72D297353CC}">
              <c16:uniqueId val="{00000001-B31C-4EF5-8311-D2E554E9B6C9}"/>
            </c:ext>
          </c:extLst>
        </c:ser>
        <c:ser>
          <c:idx val="2"/>
          <c:order val="2"/>
          <c:tx>
            <c:strRef>
              <c:f>Sheet4!$D$3:$D$4</c:f>
              <c:strCache>
                <c:ptCount val="1"/>
                <c:pt idx="0">
                  <c:v>Electronics</c:v>
                </c:pt>
              </c:strCache>
            </c:strRef>
          </c:tx>
          <c:spPr>
            <a:solidFill>
              <a:schemeClr val="accent3"/>
            </a:solidFill>
            <a:ln>
              <a:noFill/>
            </a:ln>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Sheet4!$D$5:$D$15</c:f>
              <c:numCache>
                <c:formatCode>General</c:formatCode>
                <c:ptCount val="10"/>
                <c:pt idx="1">
                  <c:v>51500</c:v>
                </c:pt>
                <c:pt idx="3">
                  <c:v>51392</c:v>
                </c:pt>
                <c:pt idx="6">
                  <c:v>80446</c:v>
                </c:pt>
                <c:pt idx="7">
                  <c:v>72892</c:v>
                </c:pt>
              </c:numCache>
            </c:numRef>
          </c:val>
          <c:extLst>
            <c:ext xmlns:c16="http://schemas.microsoft.com/office/drawing/2014/chart" uri="{C3380CC4-5D6E-409C-BE32-E72D297353CC}">
              <c16:uniqueId val="{00000002-B31C-4EF5-8311-D2E554E9B6C9}"/>
            </c:ext>
          </c:extLst>
        </c:ser>
        <c:ser>
          <c:idx val="3"/>
          <c:order val="3"/>
          <c:tx>
            <c:strRef>
              <c:f>Sheet4!$E$3:$E$4</c:f>
              <c:strCache>
                <c:ptCount val="1"/>
                <c:pt idx="0">
                  <c:v>Footwear</c:v>
                </c:pt>
              </c:strCache>
            </c:strRef>
          </c:tx>
          <c:spPr>
            <a:solidFill>
              <a:schemeClr val="accent4"/>
            </a:solidFill>
            <a:ln>
              <a:noFill/>
            </a:ln>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Sheet4!$E$5:$E$15</c:f>
              <c:numCache>
                <c:formatCode>General</c:formatCode>
                <c:ptCount val="10"/>
                <c:pt idx="5">
                  <c:v>76784</c:v>
                </c:pt>
              </c:numCache>
            </c:numRef>
          </c:val>
          <c:extLst>
            <c:ext xmlns:c16="http://schemas.microsoft.com/office/drawing/2014/chart" uri="{C3380CC4-5D6E-409C-BE32-E72D297353CC}">
              <c16:uniqueId val="{00000003-B31C-4EF5-8311-D2E554E9B6C9}"/>
            </c:ext>
          </c:extLst>
        </c:ser>
        <c:ser>
          <c:idx val="4"/>
          <c:order val="4"/>
          <c:tx>
            <c:strRef>
              <c:f>Sheet4!$F$3:$F$4</c:f>
              <c:strCache>
                <c:ptCount val="1"/>
                <c:pt idx="0">
                  <c:v>Home Appliances</c:v>
                </c:pt>
              </c:strCache>
            </c:strRef>
          </c:tx>
          <c:spPr>
            <a:solidFill>
              <a:schemeClr val="accent5"/>
            </a:solidFill>
            <a:ln>
              <a:noFill/>
            </a:ln>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Sheet4!$F$5:$F$15</c:f>
              <c:numCache>
                <c:formatCode>General</c:formatCode>
                <c:ptCount val="10"/>
                <c:pt idx="4">
                  <c:v>54700</c:v>
                </c:pt>
                <c:pt idx="9">
                  <c:v>27700</c:v>
                </c:pt>
              </c:numCache>
            </c:numRef>
          </c:val>
          <c:extLst>
            <c:ext xmlns:c16="http://schemas.microsoft.com/office/drawing/2014/chart" uri="{C3380CC4-5D6E-409C-BE32-E72D297353CC}">
              <c16:uniqueId val="{00000004-B31C-4EF5-8311-D2E554E9B6C9}"/>
            </c:ext>
          </c:extLst>
        </c:ser>
        <c:dLbls>
          <c:showLegendKey val="0"/>
          <c:showVal val="0"/>
          <c:showCatName val="0"/>
          <c:showSerName val="0"/>
          <c:showPercent val="0"/>
          <c:showBubbleSize val="0"/>
        </c:dLbls>
        <c:gapWidth val="219"/>
        <c:overlap val="-27"/>
        <c:axId val="1662996511"/>
        <c:axId val="1663009951"/>
      </c:barChart>
      <c:catAx>
        <c:axId val="166299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09951"/>
        <c:crosses val="autoZero"/>
        <c:auto val="1"/>
        <c:lblAlgn val="ctr"/>
        <c:lblOffset val="100"/>
        <c:noMultiLvlLbl val="0"/>
      </c:catAx>
      <c:valAx>
        <c:axId val="166300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99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4350174978127734"/>
              <c:y val="4.5988990959463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lumMod val="60000"/>
            </a:schemeClr>
          </a:solidFill>
          <a:ln w="19050">
            <a:solidFill>
              <a:schemeClr val="lt1"/>
            </a:solidFill>
          </a:ln>
          <a:effectLst/>
        </c:spPr>
        <c:dLbl>
          <c:idx val="0"/>
          <c:layout>
            <c:manualLayout>
              <c:x val="-2.8887357830271215E-2"/>
              <c:y val="-3.5909886264216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lumMod val="60000"/>
            </a:schemeClr>
          </a:solidFill>
          <a:ln w="19050">
            <a:solidFill>
              <a:schemeClr val="lt1"/>
            </a:solidFill>
          </a:ln>
          <a:effectLst/>
        </c:spPr>
        <c:dLbl>
          <c:idx val="0"/>
          <c:layout>
            <c:manualLayout>
              <c:x val="-0.11557677165354334"/>
              <c:y val="0.23358121901428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1.2071303587051555E-3"/>
              <c:y val="0.27257144940215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lumMod val="60000"/>
            </a:schemeClr>
          </a:solidFill>
          <a:ln w="19050">
            <a:solidFill>
              <a:schemeClr val="lt1"/>
            </a:solidFill>
          </a:ln>
          <a:effectLst/>
        </c:spPr>
        <c:dLbl>
          <c:idx val="0"/>
          <c:layout>
            <c:manualLayout>
              <c:x val="9.9148512685914236E-2"/>
              <c:y val="0.14152668416447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2.044750656167979E-2"/>
              <c:y val="-0.11210520559930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5.144750656167979E-2"/>
              <c:y val="-0.19419218431029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43114927821522309"/>
              <c:y val="-0.25053295421405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9.9273622047244089E-2"/>
              <c:y val="-5.2141294838145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3566426071741036"/>
              <c:y val="1.2876932050160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05927384076989"/>
          <c:y val="0.23346250476093963"/>
          <c:w val="0.45834864391951008"/>
          <c:h val="0.66568022431927698"/>
        </c:manualLayout>
      </c:layout>
      <c:pieChart>
        <c:varyColors val="1"/>
        <c:ser>
          <c:idx val="0"/>
          <c:order val="0"/>
          <c:tx>
            <c:strRef>
              <c:f>Sheet4!$L$6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9F4-4834-888B-9AFBF2F98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9F4-4834-888B-9AFBF2F98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69F4-4834-888B-9AFBF2F988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69F4-4834-888B-9AFBF2F988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69F4-4834-888B-9AFBF2F988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69F4-4834-888B-9AFBF2F988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9F4-4834-888B-9AFBF2F988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69F4-4834-888B-9AFBF2F988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4-69F4-4834-888B-9AFBF2F988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3-69F4-4834-888B-9AFBF2F988C1}"/>
              </c:ext>
            </c:extLst>
          </c:dPt>
          <c:dLbls>
            <c:dLbl>
              <c:idx val="0"/>
              <c:layout>
                <c:manualLayout>
                  <c:x val="-0.34350174978127734"/>
                  <c:y val="4.5988990959463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9F4-4834-888B-9AFBF2F988C1}"/>
                </c:ext>
              </c:extLst>
            </c:dLbl>
            <c:dLbl>
              <c:idx val="1"/>
              <c:layout>
                <c:manualLayout>
                  <c:x val="-2.044750656167979E-2"/>
                  <c:y val="-0.112105205599300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F4-4834-888B-9AFBF2F988C1}"/>
                </c:ext>
              </c:extLst>
            </c:dLbl>
            <c:dLbl>
              <c:idx val="2"/>
              <c:layout>
                <c:manualLayout>
                  <c:x val="5.144750656167979E-2"/>
                  <c:y val="-0.194192184310294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9F4-4834-888B-9AFBF2F988C1}"/>
                </c:ext>
              </c:extLst>
            </c:dLbl>
            <c:dLbl>
              <c:idx val="3"/>
              <c:layout>
                <c:manualLayout>
                  <c:x val="-0.13566426071741036"/>
                  <c:y val="1.28769320501603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9F4-4834-888B-9AFBF2F988C1}"/>
                </c:ext>
              </c:extLst>
            </c:dLbl>
            <c:dLbl>
              <c:idx val="4"/>
              <c:layout>
                <c:manualLayout>
                  <c:x val="9.9273622047244089E-2"/>
                  <c:y val="-5.21412948381454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9F4-4834-888B-9AFBF2F988C1}"/>
                </c:ext>
              </c:extLst>
            </c:dLbl>
            <c:dLbl>
              <c:idx val="5"/>
              <c:layout>
                <c:manualLayout>
                  <c:x val="0.43114927821522309"/>
                  <c:y val="-0.2505329542140566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9F4-4834-888B-9AFBF2F988C1}"/>
                </c:ext>
              </c:extLst>
            </c:dLbl>
            <c:dLbl>
              <c:idx val="6"/>
              <c:layout>
                <c:manualLayout>
                  <c:x val="9.9148512685914236E-2"/>
                  <c:y val="0.141526684164479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9F4-4834-888B-9AFBF2F988C1}"/>
                </c:ext>
              </c:extLst>
            </c:dLbl>
            <c:dLbl>
              <c:idx val="7"/>
              <c:layout>
                <c:manualLayout>
                  <c:x val="-1.2071303587051555E-3"/>
                  <c:y val="0.2725714494021579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F4-4834-888B-9AFBF2F988C1}"/>
                </c:ext>
              </c:extLst>
            </c:dLbl>
            <c:dLbl>
              <c:idx val="8"/>
              <c:layout>
                <c:manualLayout>
                  <c:x val="-0.11557677165354334"/>
                  <c:y val="0.2335812190142898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9F4-4834-888B-9AFBF2F988C1}"/>
                </c:ext>
              </c:extLst>
            </c:dLbl>
            <c:dLbl>
              <c:idx val="9"/>
              <c:layout>
                <c:manualLayout>
                  <c:x val="-2.8887357830271215E-2"/>
                  <c:y val="-3.59098862642169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F4-4834-888B-9AFBF2F988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Sheet4!$K$7:$K$17</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Sheet4!$L$7:$L$17</c:f>
              <c:numCache>
                <c:formatCode>General</c:formatCode>
                <c:ptCount val="10"/>
                <c:pt idx="0">
                  <c:v>133355000</c:v>
                </c:pt>
                <c:pt idx="1">
                  <c:v>134287000</c:v>
                </c:pt>
                <c:pt idx="2">
                  <c:v>114111092</c:v>
                </c:pt>
                <c:pt idx="3">
                  <c:v>53042888</c:v>
                </c:pt>
                <c:pt idx="4">
                  <c:v>120313300</c:v>
                </c:pt>
                <c:pt idx="5">
                  <c:v>186561668</c:v>
                </c:pt>
                <c:pt idx="6">
                  <c:v>127556236</c:v>
                </c:pt>
                <c:pt idx="7">
                  <c:v>153402528</c:v>
                </c:pt>
                <c:pt idx="8">
                  <c:v>107102400</c:v>
                </c:pt>
                <c:pt idx="9">
                  <c:v>41582300</c:v>
                </c:pt>
              </c:numCache>
            </c:numRef>
          </c:val>
          <c:extLst>
            <c:ext xmlns:c16="http://schemas.microsoft.com/office/drawing/2014/chart" uri="{C3380CC4-5D6E-409C-BE32-E72D297353CC}">
              <c16:uniqueId val="{00000000-69F4-4834-888B-9AFBF2F988C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Sheet4!$P$5</c:f>
              <c:strCache>
                <c:ptCount val="1"/>
                <c:pt idx="0">
                  <c:v>Sum of Quantity</c:v>
                </c:pt>
              </c:strCache>
            </c:strRef>
          </c:tx>
          <c:spPr>
            <a:solidFill>
              <a:schemeClr val="accent1"/>
            </a:solidFill>
            <a:ln>
              <a:noFill/>
            </a:ln>
            <a:effectLst/>
          </c:spPr>
          <c:invertIfNegative val="0"/>
          <c:cat>
            <c:strRef>
              <c:f>Sheet4!$O$6:$O$16</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Sheet4!$P$6:$P$16</c:f>
              <c:numCache>
                <c:formatCode>General</c:formatCode>
                <c:ptCount val="10"/>
                <c:pt idx="0">
                  <c:v>916</c:v>
                </c:pt>
                <c:pt idx="1">
                  <c:v>1064</c:v>
                </c:pt>
                <c:pt idx="2">
                  <c:v>909</c:v>
                </c:pt>
                <c:pt idx="3">
                  <c:v>671</c:v>
                </c:pt>
                <c:pt idx="4">
                  <c:v>991</c:v>
                </c:pt>
                <c:pt idx="5">
                  <c:v>1243</c:v>
                </c:pt>
                <c:pt idx="6">
                  <c:v>1233</c:v>
                </c:pt>
                <c:pt idx="7">
                  <c:v>1285</c:v>
                </c:pt>
                <c:pt idx="8">
                  <c:v>920</c:v>
                </c:pt>
                <c:pt idx="9">
                  <c:v>639</c:v>
                </c:pt>
              </c:numCache>
            </c:numRef>
          </c:val>
          <c:extLst>
            <c:ext xmlns:c16="http://schemas.microsoft.com/office/drawing/2014/chart" uri="{C3380CC4-5D6E-409C-BE32-E72D297353CC}">
              <c16:uniqueId val="{00000000-B421-4A74-A589-9A0F03904193}"/>
            </c:ext>
          </c:extLst>
        </c:ser>
        <c:ser>
          <c:idx val="1"/>
          <c:order val="1"/>
          <c:tx>
            <c:strRef>
              <c:f>Sheet4!$Q$5</c:f>
              <c:strCache>
                <c:ptCount val="1"/>
                <c:pt idx="0">
                  <c:v>Sum of Price</c:v>
                </c:pt>
              </c:strCache>
            </c:strRef>
          </c:tx>
          <c:spPr>
            <a:solidFill>
              <a:schemeClr val="accent2"/>
            </a:solidFill>
            <a:ln>
              <a:noFill/>
            </a:ln>
            <a:effectLst/>
          </c:spPr>
          <c:invertIfNegative val="0"/>
          <c:cat>
            <c:strRef>
              <c:f>Sheet4!$O$6:$O$16</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Sheet4!$Q$6:$Q$16</c:f>
              <c:numCache>
                <c:formatCode>General</c:formatCode>
                <c:ptCount val="10"/>
                <c:pt idx="0">
                  <c:v>60500</c:v>
                </c:pt>
                <c:pt idx="1">
                  <c:v>51500</c:v>
                </c:pt>
                <c:pt idx="2">
                  <c:v>44392</c:v>
                </c:pt>
                <c:pt idx="3">
                  <c:v>51392</c:v>
                </c:pt>
                <c:pt idx="4">
                  <c:v>54700</c:v>
                </c:pt>
                <c:pt idx="5">
                  <c:v>76784</c:v>
                </c:pt>
                <c:pt idx="6">
                  <c:v>80446</c:v>
                </c:pt>
                <c:pt idx="7">
                  <c:v>72892</c:v>
                </c:pt>
                <c:pt idx="8">
                  <c:v>36400</c:v>
                </c:pt>
                <c:pt idx="9">
                  <c:v>27700</c:v>
                </c:pt>
              </c:numCache>
            </c:numRef>
          </c:val>
          <c:extLst>
            <c:ext xmlns:c16="http://schemas.microsoft.com/office/drawing/2014/chart" uri="{C3380CC4-5D6E-409C-BE32-E72D297353CC}">
              <c16:uniqueId val="{00000017-B421-4A74-A589-9A0F03904193}"/>
            </c:ext>
          </c:extLst>
        </c:ser>
        <c:dLbls>
          <c:showLegendKey val="0"/>
          <c:showVal val="0"/>
          <c:showCatName val="0"/>
          <c:showSerName val="0"/>
          <c:showPercent val="0"/>
          <c:showBubbleSize val="0"/>
        </c:dLbls>
        <c:gapWidth val="219"/>
        <c:axId val="1709066463"/>
        <c:axId val="1709071743"/>
      </c:barChart>
      <c:catAx>
        <c:axId val="170906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1743"/>
        <c:crosses val="autoZero"/>
        <c:auto val="1"/>
        <c:lblAlgn val="ctr"/>
        <c:lblOffset val="100"/>
        <c:noMultiLvlLbl val="0"/>
      </c:catAx>
      <c:valAx>
        <c:axId val="170907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[amazondashboard.xlsx]Sheet4!PivotTable4</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7084339457567804"/>
          <c:y val="0.18690361621463983"/>
          <c:w val="0.38127121609798775"/>
          <c:h val="0.63545202682997959"/>
        </c:manualLayout>
      </c:layout>
      <c:radarChart>
        <c:radarStyle val="marker"/>
        <c:varyColors val="0"/>
        <c:ser>
          <c:idx val="0"/>
          <c:order val="0"/>
          <c:tx>
            <c:strRef>
              <c:f>Sheet4!$C$19:$C$20</c:f>
              <c:strCache>
                <c:ptCount val="1"/>
                <c:pt idx="0">
                  <c:v>Completed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Sheet4!$B$21:$B$26</c:f>
              <c:strCache>
                <c:ptCount val="5"/>
                <c:pt idx="0">
                  <c:v>Amazon Pay</c:v>
                </c:pt>
                <c:pt idx="1">
                  <c:v>Credit Card</c:v>
                </c:pt>
                <c:pt idx="2">
                  <c:v>Debit Card</c:v>
                </c:pt>
                <c:pt idx="3">
                  <c:v>Gift Card</c:v>
                </c:pt>
                <c:pt idx="4">
                  <c:v>PayPal</c:v>
                </c:pt>
              </c:strCache>
            </c:strRef>
          </c:cat>
          <c:val>
            <c:numRef>
              <c:f>Sheet4!$C$21:$C$26</c:f>
              <c:numCache>
                <c:formatCode>General</c:formatCode>
                <c:ptCount val="5"/>
                <c:pt idx="0">
                  <c:v>1043484</c:v>
                </c:pt>
                <c:pt idx="1">
                  <c:v>1828000</c:v>
                </c:pt>
                <c:pt idx="2">
                  <c:v>1626500</c:v>
                </c:pt>
                <c:pt idx="3">
                  <c:v>1238400</c:v>
                </c:pt>
                <c:pt idx="4">
                  <c:v>4698016</c:v>
                </c:pt>
              </c:numCache>
            </c:numRef>
          </c:val>
          <c:extLst>
            <c:ext xmlns:c16="http://schemas.microsoft.com/office/drawing/2014/chart" uri="{C3380CC4-5D6E-409C-BE32-E72D297353CC}">
              <c16:uniqueId val="{00000004-DBA3-4E11-8CE5-CF50CD562D80}"/>
            </c:ext>
          </c:extLst>
        </c:ser>
        <c:ser>
          <c:idx val="1"/>
          <c:order val="1"/>
          <c:tx>
            <c:strRef>
              <c:f>Sheet4!$D$19:$D$20</c:f>
              <c:strCache>
                <c:ptCount val="1"/>
                <c:pt idx="0">
                  <c:v>Pending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Sheet4!$B$21:$B$26</c:f>
              <c:strCache>
                <c:ptCount val="5"/>
                <c:pt idx="0">
                  <c:v>Amazon Pay</c:v>
                </c:pt>
                <c:pt idx="1">
                  <c:v>Credit Card</c:v>
                </c:pt>
                <c:pt idx="2">
                  <c:v>Debit Card</c:v>
                </c:pt>
                <c:pt idx="3">
                  <c:v>Gift Card</c:v>
                </c:pt>
                <c:pt idx="4">
                  <c:v>PayPal</c:v>
                </c:pt>
              </c:strCache>
            </c:strRef>
          </c:cat>
          <c:val>
            <c:numRef>
              <c:f>Sheet4!$D$21:$D$26</c:f>
              <c:numCache>
                <c:formatCode>General</c:formatCode>
                <c:ptCount val="5"/>
                <c:pt idx="0">
                  <c:v>2579068</c:v>
                </c:pt>
                <c:pt idx="1">
                  <c:v>2477900</c:v>
                </c:pt>
                <c:pt idx="2">
                  <c:v>2192176</c:v>
                </c:pt>
                <c:pt idx="3">
                  <c:v>2256500</c:v>
                </c:pt>
                <c:pt idx="4">
                  <c:v>1664400</c:v>
                </c:pt>
              </c:numCache>
            </c:numRef>
          </c:val>
          <c:extLst>
            <c:ext xmlns:c16="http://schemas.microsoft.com/office/drawing/2014/chart" uri="{C3380CC4-5D6E-409C-BE32-E72D297353CC}">
              <c16:uniqueId val="{00000006-DBA3-4E11-8CE5-CF50CD562D80}"/>
            </c:ext>
          </c:extLst>
        </c:ser>
        <c:dLbls>
          <c:showLegendKey val="0"/>
          <c:showVal val="0"/>
          <c:showCatName val="0"/>
          <c:showSerName val="0"/>
          <c:showPercent val="0"/>
          <c:showBubbleSize val="0"/>
        </c:dLbls>
        <c:axId val="1709152863"/>
        <c:axId val="1709165343"/>
      </c:radarChart>
      <c:catAx>
        <c:axId val="170915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65343"/>
        <c:crosses val="autoZero"/>
        <c:auto val="1"/>
        <c:lblAlgn val="ctr"/>
        <c:lblOffset val="100"/>
        <c:noMultiLvlLbl val="0"/>
      </c:catAx>
      <c:valAx>
        <c:axId val="170916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091528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total price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Sheet4!$B$5:$B$15</c:f>
              <c:numCache>
                <c:formatCode>General</c:formatCode>
                <c:ptCount val="10"/>
                <c:pt idx="0">
                  <c:v>60500</c:v>
                </c:pt>
              </c:numCache>
            </c:numRef>
          </c:val>
          <c:extLst>
            <c:ext xmlns:c16="http://schemas.microsoft.com/office/drawing/2014/chart" uri="{C3380CC4-5D6E-409C-BE32-E72D297353CC}">
              <c16:uniqueId val="{00000000-E9BA-4227-94A1-93B15EEB2CEB}"/>
            </c:ext>
          </c:extLst>
        </c:ser>
        <c:ser>
          <c:idx val="1"/>
          <c:order val="1"/>
          <c:tx>
            <c:strRef>
              <c:f>Sheet4!$C$3:$C$4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Sheet4!$C$5:$C$15</c:f>
              <c:numCache>
                <c:formatCode>General</c:formatCode>
                <c:ptCount val="10"/>
                <c:pt idx="2">
                  <c:v>44392</c:v>
                </c:pt>
                <c:pt idx="8">
                  <c:v>36400</c:v>
                </c:pt>
              </c:numCache>
            </c:numRef>
          </c:val>
          <c:extLst>
            <c:ext xmlns:c16="http://schemas.microsoft.com/office/drawing/2014/chart" uri="{C3380CC4-5D6E-409C-BE32-E72D297353CC}">
              <c16:uniqueId val="{00000001-E9BA-4227-94A1-93B15EEB2CEB}"/>
            </c:ext>
          </c:extLst>
        </c:ser>
        <c:ser>
          <c:idx val="2"/>
          <c:order val="2"/>
          <c:tx>
            <c:strRef>
              <c:f>Sheet4!$D$3:$D$4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Sheet4!$D$5:$D$15</c:f>
              <c:numCache>
                <c:formatCode>General</c:formatCode>
                <c:ptCount val="10"/>
                <c:pt idx="1">
                  <c:v>51500</c:v>
                </c:pt>
                <c:pt idx="3">
                  <c:v>51392</c:v>
                </c:pt>
                <c:pt idx="6">
                  <c:v>80446</c:v>
                </c:pt>
                <c:pt idx="7">
                  <c:v>72892</c:v>
                </c:pt>
              </c:numCache>
            </c:numRef>
          </c:val>
          <c:extLst>
            <c:ext xmlns:c16="http://schemas.microsoft.com/office/drawing/2014/chart" uri="{C3380CC4-5D6E-409C-BE32-E72D297353CC}">
              <c16:uniqueId val="{00000002-E9BA-4227-94A1-93B15EEB2CEB}"/>
            </c:ext>
          </c:extLst>
        </c:ser>
        <c:ser>
          <c:idx val="3"/>
          <c:order val="3"/>
          <c:tx>
            <c:strRef>
              <c:f>Sheet4!$E$3:$E$4</c:f>
              <c:strCache>
                <c:ptCount val="1"/>
                <c:pt idx="0">
                  <c:v>Footwear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Sheet4!$E$5:$E$15</c:f>
              <c:numCache>
                <c:formatCode>General</c:formatCode>
                <c:ptCount val="10"/>
                <c:pt idx="5">
                  <c:v>76784</c:v>
                </c:pt>
              </c:numCache>
            </c:numRef>
          </c:val>
          <c:extLst>
            <c:ext xmlns:c16="http://schemas.microsoft.com/office/drawing/2014/chart" uri="{C3380CC4-5D6E-409C-BE32-E72D297353CC}">
              <c16:uniqueId val="{00000003-E9BA-4227-94A1-93B15EEB2CEB}"/>
            </c:ext>
          </c:extLst>
        </c:ser>
        <c:ser>
          <c:idx val="4"/>
          <c:order val="4"/>
          <c:tx>
            <c:strRef>
              <c:f>Sheet4!$F$3:$F$4</c:f>
              <c:strCache>
                <c:ptCount val="1"/>
                <c:pt idx="0">
                  <c:v>Home Appliances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Sheet4!$A$5:$A$15</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Sheet4!$F$5:$F$15</c:f>
              <c:numCache>
                <c:formatCode>General</c:formatCode>
                <c:ptCount val="10"/>
                <c:pt idx="4">
                  <c:v>54700</c:v>
                </c:pt>
                <c:pt idx="9">
                  <c:v>27700</c:v>
                </c:pt>
              </c:numCache>
            </c:numRef>
          </c:val>
          <c:extLst>
            <c:ext xmlns:c16="http://schemas.microsoft.com/office/drawing/2014/chart" uri="{C3380CC4-5D6E-409C-BE32-E72D297353CC}">
              <c16:uniqueId val="{00000004-E9BA-4227-94A1-93B15EEB2CEB}"/>
            </c:ext>
          </c:extLst>
        </c:ser>
        <c:dLbls>
          <c:showLegendKey val="0"/>
          <c:showVal val="0"/>
          <c:showCatName val="0"/>
          <c:showSerName val="0"/>
          <c:showPercent val="0"/>
          <c:showBubbleSize val="0"/>
        </c:dLbls>
        <c:gapWidth val="100"/>
        <c:overlap val="-24"/>
        <c:axId val="1662996511"/>
        <c:axId val="1663009951"/>
      </c:barChart>
      <c:catAx>
        <c:axId val="1662996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009951"/>
        <c:crosses val="autoZero"/>
        <c:auto val="1"/>
        <c:lblAlgn val="ctr"/>
        <c:lblOffset val="100"/>
        <c:noMultiLvlLbl val="0"/>
      </c:catAx>
      <c:valAx>
        <c:axId val="1663009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299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Product</a:t>
            </a:r>
            <a:r>
              <a:rPr lang="en-IN" sz="1800" b="1" baseline="0"/>
              <a:t> wise price and quantity</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Sheet4!$P$5</c:f>
              <c:strCache>
                <c:ptCount val="1"/>
                <c:pt idx="0">
                  <c:v>Sum of Quantity</c:v>
                </c:pt>
              </c:strCache>
            </c:strRef>
          </c:tx>
          <c:spPr>
            <a:solidFill>
              <a:schemeClr val="accent1"/>
            </a:solidFill>
            <a:ln>
              <a:noFill/>
            </a:ln>
            <a:effectLst/>
          </c:spPr>
          <c:invertIfNegative val="0"/>
          <c:cat>
            <c:strRef>
              <c:f>Sheet4!$O$6:$O$16</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Sheet4!$P$6:$P$16</c:f>
              <c:numCache>
                <c:formatCode>General</c:formatCode>
                <c:ptCount val="10"/>
                <c:pt idx="0">
                  <c:v>916</c:v>
                </c:pt>
                <c:pt idx="1">
                  <c:v>1064</c:v>
                </c:pt>
                <c:pt idx="2">
                  <c:v>909</c:v>
                </c:pt>
                <c:pt idx="3">
                  <c:v>671</c:v>
                </c:pt>
                <c:pt idx="4">
                  <c:v>991</c:v>
                </c:pt>
                <c:pt idx="5">
                  <c:v>1243</c:v>
                </c:pt>
                <c:pt idx="6">
                  <c:v>1233</c:v>
                </c:pt>
                <c:pt idx="7">
                  <c:v>1285</c:v>
                </c:pt>
                <c:pt idx="8">
                  <c:v>920</c:v>
                </c:pt>
                <c:pt idx="9">
                  <c:v>639</c:v>
                </c:pt>
              </c:numCache>
            </c:numRef>
          </c:val>
          <c:extLst>
            <c:ext xmlns:c16="http://schemas.microsoft.com/office/drawing/2014/chart" uri="{C3380CC4-5D6E-409C-BE32-E72D297353CC}">
              <c16:uniqueId val="{00000000-B9A4-4B81-B4E5-481FEBF6AB90}"/>
            </c:ext>
          </c:extLst>
        </c:ser>
        <c:dLbls>
          <c:showLegendKey val="0"/>
          <c:showVal val="0"/>
          <c:showCatName val="0"/>
          <c:showSerName val="0"/>
          <c:showPercent val="0"/>
          <c:showBubbleSize val="0"/>
        </c:dLbls>
        <c:gapWidth val="219"/>
        <c:axId val="1709066463"/>
        <c:axId val="1709071743"/>
      </c:barChart>
      <c:lineChart>
        <c:grouping val="stacked"/>
        <c:varyColors val="0"/>
        <c:ser>
          <c:idx val="1"/>
          <c:order val="1"/>
          <c:tx>
            <c:strRef>
              <c:f>Sheet4!$Q$5</c:f>
              <c:strCache>
                <c:ptCount val="1"/>
                <c:pt idx="0">
                  <c:v>Sum of Price</c:v>
                </c:pt>
              </c:strCache>
            </c:strRef>
          </c:tx>
          <c:spPr>
            <a:ln w="28575" cap="rnd">
              <a:solidFill>
                <a:schemeClr val="accent2"/>
              </a:solidFill>
              <a:round/>
            </a:ln>
            <a:effectLst/>
          </c:spPr>
          <c:marker>
            <c:symbol val="none"/>
          </c:marker>
          <c:cat>
            <c:strRef>
              <c:f>Sheet4!$O$6:$O$16</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Sheet4!$Q$6:$Q$16</c:f>
              <c:numCache>
                <c:formatCode>General</c:formatCode>
                <c:ptCount val="10"/>
                <c:pt idx="0">
                  <c:v>60500</c:v>
                </c:pt>
                <c:pt idx="1">
                  <c:v>51500</c:v>
                </c:pt>
                <c:pt idx="2">
                  <c:v>44392</c:v>
                </c:pt>
                <c:pt idx="3">
                  <c:v>51392</c:v>
                </c:pt>
                <c:pt idx="4">
                  <c:v>54700</c:v>
                </c:pt>
                <c:pt idx="5">
                  <c:v>76784</c:v>
                </c:pt>
                <c:pt idx="6">
                  <c:v>80446</c:v>
                </c:pt>
                <c:pt idx="7">
                  <c:v>72892</c:v>
                </c:pt>
                <c:pt idx="8">
                  <c:v>36400</c:v>
                </c:pt>
                <c:pt idx="9">
                  <c:v>27700</c:v>
                </c:pt>
              </c:numCache>
            </c:numRef>
          </c:val>
          <c:smooth val="0"/>
          <c:extLst>
            <c:ext xmlns:c16="http://schemas.microsoft.com/office/drawing/2014/chart" uri="{C3380CC4-5D6E-409C-BE32-E72D297353CC}">
              <c16:uniqueId val="{00000017-B9A4-4B81-B4E5-481FEBF6AB90}"/>
            </c:ext>
          </c:extLst>
        </c:ser>
        <c:dLbls>
          <c:showLegendKey val="0"/>
          <c:showVal val="0"/>
          <c:showCatName val="0"/>
          <c:showSerName val="0"/>
          <c:showPercent val="0"/>
          <c:showBubbleSize val="0"/>
        </c:dLbls>
        <c:marker val="1"/>
        <c:smooth val="0"/>
        <c:axId val="1234345263"/>
        <c:axId val="1234342863"/>
      </c:lineChart>
      <c:catAx>
        <c:axId val="170906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1743"/>
        <c:crosses val="autoZero"/>
        <c:auto val="1"/>
        <c:lblAlgn val="ctr"/>
        <c:lblOffset val="100"/>
        <c:noMultiLvlLbl val="0"/>
      </c:catAx>
      <c:valAx>
        <c:axId val="170907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6463"/>
        <c:crosses val="autoZero"/>
        <c:crossBetween val="between"/>
      </c:valAx>
      <c:valAx>
        <c:axId val="12343428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45263"/>
        <c:crosses val="max"/>
        <c:crossBetween val="between"/>
      </c:valAx>
      <c:catAx>
        <c:axId val="1234345263"/>
        <c:scaling>
          <c:orientation val="minMax"/>
        </c:scaling>
        <c:delete val="1"/>
        <c:axPos val="b"/>
        <c:numFmt formatCode="General" sourceLinked="1"/>
        <c:majorTickMark val="out"/>
        <c:minorTickMark val="none"/>
        <c:tickLblPos val="nextTo"/>
        <c:crossAx val="1234342863"/>
        <c:auto val="1"/>
        <c:lblAlgn val="ctr"/>
        <c:lblOffset val="100"/>
        <c:noMultiLvlLbl val="0"/>
      </c:catAx>
      <c:spPr>
        <a:noFill/>
        <a:ln>
          <a:noFill/>
        </a:ln>
        <a:effectLst/>
      </c:spPr>
    </c:plotArea>
    <c:legend>
      <c:legendPos val="r"/>
      <c:overlay val="0"/>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[amazondashboard.xlsx]Sheet4!PivotTable4</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800" b="1"/>
              <a:t>Status wise sum of sales</a:t>
            </a:r>
          </a:p>
        </c:rich>
      </c:tx>
      <c:overlay val="0"/>
      <c:spPr>
        <a:noFill/>
        <a:ln w="19050">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5875" cap="rnd">
            <a:solidFill>
              <a:schemeClr val="accent1"/>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8941870704729"/>
          <c:y val="0.23880360406349488"/>
          <c:w val="0.55538784645520178"/>
          <c:h val="0.6390711450661668"/>
        </c:manualLayout>
      </c:layout>
      <c:radarChart>
        <c:radarStyle val="marker"/>
        <c:varyColors val="0"/>
        <c:ser>
          <c:idx val="0"/>
          <c:order val="0"/>
          <c:tx>
            <c:strRef>
              <c:f>Sheet4!$C$19:$C$20</c:f>
              <c:strCache>
                <c:ptCount val="1"/>
                <c:pt idx="0">
                  <c:v>Completed</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Sheet4!$B$21:$B$26</c:f>
              <c:strCache>
                <c:ptCount val="5"/>
                <c:pt idx="0">
                  <c:v>Amazon Pay</c:v>
                </c:pt>
                <c:pt idx="1">
                  <c:v>Credit Card</c:v>
                </c:pt>
                <c:pt idx="2">
                  <c:v>Debit Card</c:v>
                </c:pt>
                <c:pt idx="3">
                  <c:v>Gift Card</c:v>
                </c:pt>
                <c:pt idx="4">
                  <c:v>PayPal</c:v>
                </c:pt>
              </c:strCache>
            </c:strRef>
          </c:cat>
          <c:val>
            <c:numRef>
              <c:f>Sheet4!$C$21:$C$26</c:f>
              <c:numCache>
                <c:formatCode>General</c:formatCode>
                <c:ptCount val="5"/>
                <c:pt idx="0">
                  <c:v>1043484</c:v>
                </c:pt>
                <c:pt idx="1">
                  <c:v>1828000</c:v>
                </c:pt>
                <c:pt idx="2">
                  <c:v>1626500</c:v>
                </c:pt>
                <c:pt idx="3">
                  <c:v>1238400</c:v>
                </c:pt>
                <c:pt idx="4">
                  <c:v>4698016</c:v>
                </c:pt>
              </c:numCache>
            </c:numRef>
          </c:val>
          <c:extLst>
            <c:ext xmlns:c16="http://schemas.microsoft.com/office/drawing/2014/chart" uri="{C3380CC4-5D6E-409C-BE32-E72D297353CC}">
              <c16:uniqueId val="{00000000-CBB8-4EBF-90A2-5F36C53E557D}"/>
            </c:ext>
          </c:extLst>
        </c:ser>
        <c:ser>
          <c:idx val="1"/>
          <c:order val="1"/>
          <c:tx>
            <c:strRef>
              <c:f>Sheet4!$D$19:$D$20</c:f>
              <c:strCache>
                <c:ptCount val="1"/>
                <c:pt idx="0">
                  <c:v>Pending</c:v>
                </c:pt>
              </c:strCache>
            </c:strRef>
          </c:tx>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Sheet4!$B$21:$B$26</c:f>
              <c:strCache>
                <c:ptCount val="5"/>
                <c:pt idx="0">
                  <c:v>Amazon Pay</c:v>
                </c:pt>
                <c:pt idx="1">
                  <c:v>Credit Card</c:v>
                </c:pt>
                <c:pt idx="2">
                  <c:v>Debit Card</c:v>
                </c:pt>
                <c:pt idx="3">
                  <c:v>Gift Card</c:v>
                </c:pt>
                <c:pt idx="4">
                  <c:v>PayPal</c:v>
                </c:pt>
              </c:strCache>
            </c:strRef>
          </c:cat>
          <c:val>
            <c:numRef>
              <c:f>Sheet4!$D$21:$D$26</c:f>
              <c:numCache>
                <c:formatCode>General</c:formatCode>
                <c:ptCount val="5"/>
                <c:pt idx="0">
                  <c:v>2579068</c:v>
                </c:pt>
                <c:pt idx="1">
                  <c:v>2477900</c:v>
                </c:pt>
                <c:pt idx="2">
                  <c:v>2192176</c:v>
                </c:pt>
                <c:pt idx="3">
                  <c:v>2256500</c:v>
                </c:pt>
                <c:pt idx="4">
                  <c:v>1664400</c:v>
                </c:pt>
              </c:numCache>
            </c:numRef>
          </c:val>
          <c:extLst>
            <c:ext xmlns:c16="http://schemas.microsoft.com/office/drawing/2014/chart" uri="{C3380CC4-5D6E-409C-BE32-E72D297353CC}">
              <c16:uniqueId val="{00000001-CBB8-4EBF-90A2-5F36C53E557D}"/>
            </c:ext>
          </c:extLst>
        </c:ser>
        <c:dLbls>
          <c:showLegendKey val="0"/>
          <c:showVal val="0"/>
          <c:showCatName val="0"/>
          <c:showSerName val="0"/>
          <c:showPercent val="0"/>
          <c:showBubbleSize val="0"/>
        </c:dLbls>
        <c:axId val="1709152863"/>
        <c:axId val="1709165343"/>
      </c:radarChart>
      <c:catAx>
        <c:axId val="170915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9165343"/>
        <c:crosses val="autoZero"/>
        <c:auto val="1"/>
        <c:lblAlgn val="ctr"/>
        <c:lblOffset val="100"/>
        <c:noMultiLvlLbl val="0"/>
      </c:catAx>
      <c:valAx>
        <c:axId val="170916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915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[amazondashboard.xlsx]Sheet4!PivotTable2</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Product</a:t>
            </a:r>
            <a:r>
              <a:rPr lang="en-US" baseline="0"/>
              <a:t> wise sum of profit</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34350174978127734"/>
              <c:y val="4.598899095946339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2.8887357830271215E-2"/>
              <c:y val="-3.59098862642169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1557677165354334"/>
              <c:y val="0.2335812190142898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1.2071303587051555E-3"/>
              <c:y val="0.2725714494021579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9.9148512685914236E-2"/>
              <c:y val="0.1415266841644794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2.044750656167979E-2"/>
              <c:y val="-0.1121052055993001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5.144750656167979E-2"/>
              <c:y val="-0.194192184310294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43114927821522309"/>
              <c:y val="-0.2505329542140566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9.9273622047244089E-2"/>
              <c:y val="-5.21412948381454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3566426071741036"/>
              <c:y val="1.28769320501603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34350174978127734"/>
              <c:y val="4.598899095946339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2.044750656167979E-2"/>
              <c:y val="-0.1121052055993001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5.144750656167979E-2"/>
              <c:y val="-0.194192184310294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13566426071741036"/>
              <c:y val="1.28769320501603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9.9273622047244089E-2"/>
              <c:y val="-5.21412948381454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0.43114927821522309"/>
              <c:y val="-0.2505329542140566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9.9148512685914236E-2"/>
              <c:y val="0.1415266841644794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1.2071303587051555E-3"/>
              <c:y val="0.2725714494021579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layout>
            <c:manualLayout>
              <c:x val="-0.11557677165354334"/>
              <c:y val="0.2335812190142898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layout>
            <c:manualLayout>
              <c:x val="-2.8887357830271215E-2"/>
              <c:y val="-3.59098862642169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05927384076989"/>
          <c:y val="0.23346250476093963"/>
          <c:w val="0.45834864391951008"/>
          <c:h val="0.66568022431927698"/>
        </c:manualLayout>
      </c:layout>
      <c:pieChart>
        <c:varyColors val="1"/>
        <c:ser>
          <c:idx val="0"/>
          <c:order val="0"/>
          <c:tx>
            <c:strRef>
              <c:f>Sheet4!$L$6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21F-4C93-B358-8DD1EB8881F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21F-4C93-B358-8DD1EB8881F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21F-4C93-B358-8DD1EB8881F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21F-4C93-B358-8DD1EB8881F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21F-4C93-B358-8DD1EB8881F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21F-4C93-B358-8DD1EB8881F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21F-4C93-B358-8DD1EB8881F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21F-4C93-B358-8DD1EB8881F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21F-4C93-B358-8DD1EB8881F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21F-4C93-B358-8DD1EB8881F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Sheet4!$K$7:$K$17</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Sheet4!$L$7:$L$17</c:f>
              <c:numCache>
                <c:formatCode>General</c:formatCode>
                <c:ptCount val="10"/>
                <c:pt idx="0">
                  <c:v>133355000</c:v>
                </c:pt>
                <c:pt idx="1">
                  <c:v>134287000</c:v>
                </c:pt>
                <c:pt idx="2">
                  <c:v>114111092</c:v>
                </c:pt>
                <c:pt idx="3">
                  <c:v>53042888</c:v>
                </c:pt>
                <c:pt idx="4">
                  <c:v>120313300</c:v>
                </c:pt>
                <c:pt idx="5">
                  <c:v>186561668</c:v>
                </c:pt>
                <c:pt idx="6">
                  <c:v>127556236</c:v>
                </c:pt>
                <c:pt idx="7">
                  <c:v>153402528</c:v>
                </c:pt>
                <c:pt idx="8">
                  <c:v>107102400</c:v>
                </c:pt>
                <c:pt idx="9">
                  <c:v>41582300</c:v>
                </c:pt>
              </c:numCache>
            </c:numRef>
          </c:val>
          <c:extLst>
            <c:ext xmlns:c16="http://schemas.microsoft.com/office/drawing/2014/chart" uri="{C3380CC4-5D6E-409C-BE32-E72D297353CC}">
              <c16:uniqueId val="{00000014-C21F-4C93-B358-8DD1EB8881F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14</xdr:col>
      <xdr:colOff>990600</xdr:colOff>
      <xdr:row>22</xdr:row>
      <xdr:rowOff>0</xdr:rowOff>
    </xdr:from>
    <xdr:to>
      <xdr:col>16</xdr:col>
      <xdr:colOff>667927</xdr:colOff>
      <xdr:row>35</xdr:row>
      <xdr:rowOff>47625</xdr:rowOff>
    </xdr:to>
    <mc:AlternateContent xmlns:mc="http://schemas.openxmlformats.org/markup-compatibility/2006">
      <mc:Choice xmlns:a14="http://schemas.microsoft.com/office/drawing/2010/main" Requires="a14">
        <xdr:graphicFrame macro="">
          <xdr:nvGraphicFramePr>
            <xdr:cNvPr id="2" name="Customer Location">
              <a:extLst>
                <a:ext uri="{FF2B5EF4-FFF2-40B4-BE49-F238E27FC236}">
                  <a16:creationId xmlns:a16="http://schemas.microsoft.com/office/drawing/2014/main" id="{B691444C-9140-5D7F-DA60-0170F6D9C30D}"/>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3991734" y="4104588"/>
              <a:ext cx="1817997"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22</xdr:row>
      <xdr:rowOff>180975</xdr:rowOff>
    </xdr:from>
    <xdr:to>
      <xdr:col>9</xdr:col>
      <xdr:colOff>50861</xdr:colOff>
      <xdr:row>36</xdr:row>
      <xdr:rowOff>38100</xdr:rowOff>
    </xdr:to>
    <mc:AlternateContent xmlns:mc="http://schemas.openxmlformats.org/markup-compatibility/2006">
      <mc:Choice xmlns:a14="http://schemas.microsoft.com/office/drawing/2010/main" Requires="a14">
        <xdr:graphicFrame macro="">
          <xdr:nvGraphicFramePr>
            <xdr:cNvPr id="3" name="Payment Method 2">
              <a:extLst>
                <a:ext uri="{FF2B5EF4-FFF2-40B4-BE49-F238E27FC236}">
                  <a16:creationId xmlns:a16="http://schemas.microsoft.com/office/drawing/2014/main" id="{2C35F566-234F-47AE-6F12-7F094BCDB64E}"/>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6630382" y="4285563"/>
              <a:ext cx="1816226" cy="2469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409575</xdr:colOff>
      <xdr:row>22</xdr:row>
      <xdr:rowOff>28575</xdr:rowOff>
    </xdr:from>
    <xdr:to>
      <xdr:col>11</xdr:col>
      <xdr:colOff>514350</xdr:colOff>
      <xdr:row>35</xdr:row>
      <xdr:rowOff>76200</xdr:rowOff>
    </xdr:to>
    <mc:AlternateContent xmlns:mc="http://schemas.openxmlformats.org/markup-compatibility/2006">
      <mc:Choice xmlns:a14="http://schemas.microsoft.com/office/drawing/2010/main" Requires="a14">
        <xdr:graphicFrame macro="">
          <xdr:nvGraphicFramePr>
            <xdr:cNvPr id="4" name="Status 2">
              <a:extLst>
                <a:ext uri="{FF2B5EF4-FFF2-40B4-BE49-F238E27FC236}">
                  <a16:creationId xmlns:a16="http://schemas.microsoft.com/office/drawing/2014/main" id="{2BC43B9F-93A6-181D-8B1D-162FDC6770E7}"/>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8805322" y="4133163"/>
              <a:ext cx="1823203"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20</xdr:row>
      <xdr:rowOff>47625</xdr:rowOff>
    </xdr:from>
    <xdr:to>
      <xdr:col>14</xdr:col>
      <xdr:colOff>238125</xdr:colOff>
      <xdr:row>33</xdr:row>
      <xdr:rowOff>95250</xdr:rowOff>
    </xdr:to>
    <mc:AlternateContent xmlns:mc="http://schemas.openxmlformats.org/markup-compatibility/2006">
      <mc:Choice xmlns:a14="http://schemas.microsoft.com/office/drawing/2010/main" Requires="a14">
        <xdr:graphicFrame macro="">
          <xdr:nvGraphicFramePr>
            <xdr:cNvPr id="5" name="Date">
              <a:extLst>
                <a:ext uri="{FF2B5EF4-FFF2-40B4-BE49-F238E27FC236}">
                  <a16:creationId xmlns:a16="http://schemas.microsoft.com/office/drawing/2014/main" id="{41E86291-3755-57D9-4498-5D315CCCCF3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408888" y="3779068"/>
              <a:ext cx="1830371"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171450</xdr:colOff>
      <xdr:row>18</xdr:row>
      <xdr:rowOff>61912</xdr:rowOff>
    </xdr:from>
    <xdr:to>
      <xdr:col>25</xdr:col>
      <xdr:colOff>333375</xdr:colOff>
      <xdr:row>32</xdr:row>
      <xdr:rowOff>138112</xdr:rowOff>
    </xdr:to>
    <xdr:graphicFrame macro="">
      <xdr:nvGraphicFramePr>
        <xdr:cNvPr id="6" name="Chart 5">
          <a:extLst>
            <a:ext uri="{FF2B5EF4-FFF2-40B4-BE49-F238E27FC236}">
              <a16:creationId xmlns:a16="http://schemas.microsoft.com/office/drawing/2014/main" id="{35438595-A69C-687E-ED38-3F1C76D38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419742</xdr:colOff>
      <xdr:row>40</xdr:row>
      <xdr:rowOff>178186</xdr:rowOff>
    </xdr:from>
    <xdr:to>
      <xdr:col>11</xdr:col>
      <xdr:colOff>193176</xdr:colOff>
      <xdr:row>57</xdr:row>
      <xdr:rowOff>80512</xdr:rowOff>
    </xdr:to>
    <xdr:graphicFrame macro="">
      <xdr:nvGraphicFramePr>
        <xdr:cNvPr id="7" name="Chart 6">
          <a:extLst>
            <a:ext uri="{FF2B5EF4-FFF2-40B4-BE49-F238E27FC236}">
              <a16:creationId xmlns:a16="http://schemas.microsoft.com/office/drawing/2014/main" id="{7264F4C4-A142-43DE-8865-AD110E317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1092596</xdr:colOff>
      <xdr:row>35</xdr:row>
      <xdr:rowOff>45952</xdr:rowOff>
    </xdr:from>
    <xdr:to>
      <xdr:col>17</xdr:col>
      <xdr:colOff>11748</xdr:colOff>
      <xdr:row>50</xdr:row>
      <xdr:rowOff>630</xdr:rowOff>
    </xdr:to>
    <xdr:graphicFrame macro="">
      <xdr:nvGraphicFramePr>
        <xdr:cNvPr id="8" name="Chart 7">
          <a:extLst>
            <a:ext uri="{FF2B5EF4-FFF2-40B4-BE49-F238E27FC236}">
              <a16:creationId xmlns:a16="http://schemas.microsoft.com/office/drawing/2014/main" id="{2DD4DEC0-82F4-9437-B3BA-2CDFF1F9E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954464</xdr:colOff>
      <xdr:row>28</xdr:row>
      <xdr:rowOff>3141</xdr:rowOff>
    </xdr:from>
    <xdr:to>
      <xdr:col>5</xdr:col>
      <xdr:colOff>253345</xdr:colOff>
      <xdr:row>42</xdr:row>
      <xdr:rowOff>134331</xdr:rowOff>
    </xdr:to>
    <xdr:graphicFrame macro="">
      <xdr:nvGraphicFramePr>
        <xdr:cNvPr id="9" name="Chart 8">
          <a:extLst>
            <a:ext uri="{FF2B5EF4-FFF2-40B4-BE49-F238E27FC236}">
              <a16:creationId xmlns:a16="http://schemas.microsoft.com/office/drawing/2014/main" id="{B7476286-77E5-33EA-BC6E-4ED249FCC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50467</xdr:colOff>
      <xdr:row>1</xdr:row>
      <xdr:rowOff>62665</xdr:rowOff>
    </xdr:from>
    <xdr:ext cx="11863590" cy="889836"/>
    <xdr:sp macro="" textlink="">
      <xdr:nvSpPr>
        <xdr:cNvPr id="2" name="TextBox 1">
          <a:extLst>
            <a:ext uri="{FF2B5EF4-FFF2-40B4-BE49-F238E27FC236}">
              <a16:creationId xmlns:a16="http://schemas.microsoft.com/office/drawing/2014/main" id="{9C96B920-76C5-C19D-F418-668A8F27701F}"/>
            </a:ext>
          </a:extLst>
        </xdr:cNvPr>
        <xdr:cNvSpPr txBox="1"/>
      </xdr:nvSpPr>
      <xdr:spPr>
        <a:xfrm>
          <a:off x="300303" y="250042"/>
          <a:ext cx="11863590" cy="88983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a:latin typeface="Arial Black" panose="020B0A04020102020204" pitchFamily="34" charset="0"/>
            </a:rPr>
            <a:t>Amazon sales dashboard</a:t>
          </a:r>
        </a:p>
      </xdr:txBody>
    </xdr:sp>
    <xdr:clientData/>
  </xdr:oneCellAnchor>
  <xdr:twoCellAnchor editAs="oneCell">
    <xdr:from>
      <xdr:col>1</xdr:col>
      <xdr:colOff>125329</xdr:colOff>
      <xdr:row>7</xdr:row>
      <xdr:rowOff>50132</xdr:rowOff>
    </xdr:from>
    <xdr:to>
      <xdr:col>4</xdr:col>
      <xdr:colOff>111794</xdr:colOff>
      <xdr:row>20</xdr:row>
      <xdr:rowOff>130343</xdr:rowOff>
    </xdr:to>
    <mc:AlternateContent xmlns:mc="http://schemas.openxmlformats.org/markup-compatibility/2006">
      <mc:Choice xmlns:a14="http://schemas.microsoft.com/office/drawing/2010/main" Requires="a14">
        <xdr:graphicFrame macro="">
          <xdr:nvGraphicFramePr>
            <xdr:cNvPr id="11" name="Customer Location 1">
              <a:extLst>
                <a:ext uri="{FF2B5EF4-FFF2-40B4-BE49-F238E27FC236}">
                  <a16:creationId xmlns:a16="http://schemas.microsoft.com/office/drawing/2014/main" id="{8E21E421-377D-4221-99C8-2172252451A9}"/>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dr:sp macro="" textlink="">
          <xdr:nvSpPr>
            <xdr:cNvPr id="0" name=""/>
            <xdr:cNvSpPr>
              <a:spLocks noTextEdit="1"/>
            </xdr:cNvSpPr>
          </xdr:nvSpPr>
          <xdr:spPr>
            <a:xfrm>
              <a:off x="380463" y="1359820"/>
              <a:ext cx="1823429" cy="2512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137863</xdr:colOff>
      <xdr:row>21</xdr:row>
      <xdr:rowOff>75199</xdr:rowOff>
    </xdr:from>
    <xdr:to>
      <xdr:col>4</xdr:col>
      <xdr:colOff>124328</xdr:colOff>
      <xdr:row>31</xdr:row>
      <xdr:rowOff>12535</xdr:rowOff>
    </xdr:to>
    <mc:AlternateContent xmlns:mc="http://schemas.openxmlformats.org/markup-compatibility/2006">
      <mc:Choice xmlns:a14="http://schemas.microsoft.com/office/drawing/2010/main" Requires="a14">
        <xdr:graphicFrame macro="">
          <xdr:nvGraphicFramePr>
            <xdr:cNvPr id="12" name="Payment Method 3">
              <a:extLst>
                <a:ext uri="{FF2B5EF4-FFF2-40B4-BE49-F238E27FC236}">
                  <a16:creationId xmlns:a16="http://schemas.microsoft.com/office/drawing/2014/main" id="{BE843654-AF02-494E-AA65-BBB52742917F}"/>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dr:sp macro="" textlink="">
          <xdr:nvSpPr>
            <xdr:cNvPr id="0" name=""/>
            <xdr:cNvSpPr>
              <a:spLocks noTextEdit="1"/>
            </xdr:cNvSpPr>
          </xdr:nvSpPr>
          <xdr:spPr>
            <a:xfrm>
              <a:off x="392997" y="4004262"/>
              <a:ext cx="1823429" cy="1808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162927</xdr:colOff>
      <xdr:row>31</xdr:row>
      <xdr:rowOff>187992</xdr:rowOff>
    </xdr:from>
    <xdr:to>
      <xdr:col>4</xdr:col>
      <xdr:colOff>149392</xdr:colOff>
      <xdr:row>45</xdr:row>
      <xdr:rowOff>80209</xdr:rowOff>
    </xdr:to>
    <mc:AlternateContent xmlns:mc="http://schemas.openxmlformats.org/markup-compatibility/2006">
      <mc:Choice xmlns:a14="http://schemas.microsoft.com/office/drawing/2010/main" Requires="a14">
        <xdr:graphicFrame macro="">
          <xdr:nvGraphicFramePr>
            <xdr:cNvPr id="13" name="Date 1">
              <a:extLst>
                <a:ext uri="{FF2B5EF4-FFF2-40B4-BE49-F238E27FC236}">
                  <a16:creationId xmlns:a16="http://schemas.microsoft.com/office/drawing/2014/main" id="{E0CD2B2D-E24F-493A-9523-726BF7555BE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418061" y="5988037"/>
              <a:ext cx="1823429" cy="2511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375987</xdr:colOff>
      <xdr:row>7</xdr:row>
      <xdr:rowOff>50132</xdr:rowOff>
    </xdr:from>
    <xdr:to>
      <xdr:col>12</xdr:col>
      <xdr:colOff>162928</xdr:colOff>
      <xdr:row>28</xdr:row>
      <xdr:rowOff>62664</xdr:rowOff>
    </xdr:to>
    <xdr:graphicFrame macro="">
      <xdr:nvGraphicFramePr>
        <xdr:cNvPr id="14" name="Chart 13">
          <a:extLst>
            <a:ext uri="{FF2B5EF4-FFF2-40B4-BE49-F238E27FC236}">
              <a16:creationId xmlns:a16="http://schemas.microsoft.com/office/drawing/2014/main" id="{E933C2D0-7C5C-42F6-854B-282EA619A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175461</xdr:colOff>
      <xdr:row>46</xdr:row>
      <xdr:rowOff>75197</xdr:rowOff>
    </xdr:from>
    <xdr:to>
      <xdr:col>4</xdr:col>
      <xdr:colOff>161926</xdr:colOff>
      <xdr:row>51</xdr:row>
      <xdr:rowOff>102053</xdr:rowOff>
    </xdr:to>
    <mc:AlternateContent xmlns:mc="http://schemas.openxmlformats.org/markup-compatibility/2006">
      <mc:Choice xmlns:a14="http://schemas.microsoft.com/office/drawing/2010/main" Requires="a14">
        <xdr:graphicFrame macro="">
          <xdr:nvGraphicFramePr>
            <xdr:cNvPr id="15" name="Status 3">
              <a:extLst>
                <a:ext uri="{FF2B5EF4-FFF2-40B4-BE49-F238E27FC236}">
                  <a16:creationId xmlns:a16="http://schemas.microsoft.com/office/drawing/2014/main" id="{CA186D14-4D02-45CE-A2D4-2E4DDE26E248}"/>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430595" y="8681715"/>
              <a:ext cx="1823429" cy="962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515293</xdr:colOff>
      <xdr:row>30</xdr:row>
      <xdr:rowOff>70556</xdr:rowOff>
    </xdr:from>
    <xdr:to>
      <xdr:col>20</xdr:col>
      <xdr:colOff>303205</xdr:colOff>
      <xdr:row>51</xdr:row>
      <xdr:rowOff>81972</xdr:rowOff>
    </xdr:to>
    <xdr:graphicFrame macro="">
      <xdr:nvGraphicFramePr>
        <xdr:cNvPr id="17" name="Chart 16">
          <a:extLst>
            <a:ext uri="{FF2B5EF4-FFF2-40B4-BE49-F238E27FC236}">
              <a16:creationId xmlns:a16="http://schemas.microsoft.com/office/drawing/2014/main" id="{B8A6344B-A371-42CA-BFFA-EFACBBB40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357589</xdr:colOff>
      <xdr:row>30</xdr:row>
      <xdr:rowOff>35278</xdr:rowOff>
    </xdr:from>
    <xdr:to>
      <xdr:col>12</xdr:col>
      <xdr:colOff>145500</xdr:colOff>
      <xdr:row>51</xdr:row>
      <xdr:rowOff>46694</xdr:rowOff>
    </xdr:to>
    <xdr:graphicFrame macro="">
      <xdr:nvGraphicFramePr>
        <xdr:cNvPr id="18" name="Chart 17">
          <a:extLst>
            <a:ext uri="{FF2B5EF4-FFF2-40B4-BE49-F238E27FC236}">
              <a16:creationId xmlns:a16="http://schemas.microsoft.com/office/drawing/2014/main" id="{1BF7D8D4-8F27-43E4-934E-3A36190F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484058</xdr:colOff>
      <xdr:row>7</xdr:row>
      <xdr:rowOff>46845</xdr:rowOff>
    </xdr:from>
    <xdr:to>
      <xdr:col>20</xdr:col>
      <xdr:colOff>270655</xdr:colOff>
      <xdr:row>28</xdr:row>
      <xdr:rowOff>57527</xdr:rowOff>
    </xdr:to>
    <xdr:graphicFrame macro="">
      <xdr:nvGraphicFramePr>
        <xdr:cNvPr id="19" name="Chart 18">
          <a:extLst>
            <a:ext uri="{FF2B5EF4-FFF2-40B4-BE49-F238E27FC236}">
              <a16:creationId xmlns:a16="http://schemas.microsoft.com/office/drawing/2014/main" id="{E2FB4A1A-8A58-4B39-94D9-2A8211AC2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raj" refreshedDate="46230.728058101849" createdVersion="8" refreshedVersion="8" minRefreshableVersion="3" recordCount="250" xr:uid="{3E018A70-423D-4631-A198-9BF8FC9A8A74}">
  <cacheSource type="worksheet">
    <worksheetSource name="Table1"/>
  </cacheSource>
  <cacheFields count="12">
    <cacheField name="Order ID" numFmtId="0">
      <sharedItems/>
    </cacheField>
    <cacheField name="Date" numFmtId="1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500" maxValue="8746"/>
    </cacheField>
    <cacheField name="Quantity" numFmtId="0">
      <sharedItems containsSemiMixedTypes="0" containsString="0" containsNumber="1" containsInteger="1" minValue="1" maxValue="89"/>
    </cacheField>
    <cacheField name="Total Sales" numFmtId="0">
      <sharedItems containsSemiMixedTypes="0" containsString="0" containsNumber="1" containsInteger="1" minValue="500" maxValue="445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2">
        <s v="Completed"/>
        <s v="Pending"/>
      </sharedItems>
    </cacheField>
    <cacheField name="profit" numFmtId="0">
      <sharedItems containsSemiMixedTypes="0" containsString="0" containsNumber="1" containsInteger="1" minValue="500" maxValue="39605000"/>
    </cacheField>
  </cacheFields>
  <extLst>
    <ext xmlns:x14="http://schemas.microsoft.com/office/spreadsheetml/2009/9/main" uri="{725AE2AE-9491-48be-B2B4-4EB974FC3084}">
      <x14:pivotCacheDefinition pivotCacheId="1437953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x v="0"/>
    <x v="0"/>
    <x v="0"/>
    <n v="3000"/>
    <n v="33"/>
    <n v="99000"/>
    <x v="0"/>
    <x v="0"/>
    <x v="0"/>
    <x v="0"/>
    <n v="3267000"/>
  </r>
  <r>
    <s v="ORD0002"/>
    <x v="1"/>
    <x v="1"/>
    <x v="1"/>
    <n v="5000"/>
    <n v="54"/>
    <n v="270000"/>
    <x v="1"/>
    <x v="1"/>
    <x v="0"/>
    <x v="1"/>
    <n v="14580000"/>
  </r>
  <r>
    <s v="ORD0003"/>
    <x v="2"/>
    <x v="0"/>
    <x v="0"/>
    <n v="2000"/>
    <n v="56"/>
    <n v="112000"/>
    <x v="2"/>
    <x v="2"/>
    <x v="1"/>
    <x v="0"/>
    <n v="6272000"/>
  </r>
  <r>
    <s v="ORD0004"/>
    <x v="3"/>
    <x v="0"/>
    <x v="0"/>
    <n v="2000"/>
    <n v="72"/>
    <n v="144000"/>
    <x v="3"/>
    <x v="3"/>
    <x v="2"/>
    <x v="1"/>
    <n v="10368000"/>
  </r>
  <r>
    <s v="ORD0005"/>
    <x v="4"/>
    <x v="2"/>
    <x v="1"/>
    <n v="1000"/>
    <n v="12"/>
    <n v="12000"/>
    <x v="0"/>
    <x v="0"/>
    <x v="0"/>
    <x v="1"/>
    <n v="144000"/>
  </r>
  <r>
    <s v="ORD0006"/>
    <x v="1"/>
    <x v="3"/>
    <x v="2"/>
    <n v="500"/>
    <n v="45"/>
    <n v="22500"/>
    <x v="2"/>
    <x v="3"/>
    <x v="2"/>
    <x v="1"/>
    <n v="1012500"/>
  </r>
  <r>
    <s v="ORD0007"/>
    <x v="5"/>
    <x v="2"/>
    <x v="1"/>
    <n v="2000"/>
    <n v="67"/>
    <n v="134000"/>
    <x v="0"/>
    <x v="4"/>
    <x v="3"/>
    <x v="0"/>
    <n v="8978000"/>
  </r>
  <r>
    <s v="ORD0008"/>
    <x v="6"/>
    <x v="4"/>
    <x v="1"/>
    <n v="3000"/>
    <n v="23"/>
    <n v="69000"/>
    <x v="4"/>
    <x v="5"/>
    <x v="3"/>
    <x v="0"/>
    <n v="1587000"/>
  </r>
  <r>
    <s v="ORD0009"/>
    <x v="7"/>
    <x v="3"/>
    <x v="2"/>
    <n v="5000"/>
    <n v="89"/>
    <n v="445000"/>
    <x v="4"/>
    <x v="6"/>
    <x v="3"/>
    <x v="0"/>
    <n v="39605000"/>
  </r>
  <r>
    <s v="ORD0010"/>
    <x v="8"/>
    <x v="4"/>
    <x v="1"/>
    <n v="2000"/>
    <n v="42"/>
    <n v="84000"/>
    <x v="1"/>
    <x v="1"/>
    <x v="2"/>
    <x v="1"/>
    <n v="3528000"/>
  </r>
  <r>
    <s v="ORD0011"/>
    <x v="9"/>
    <x v="5"/>
    <x v="3"/>
    <n v="2000"/>
    <n v="51"/>
    <n v="102000"/>
    <x v="5"/>
    <x v="6"/>
    <x v="1"/>
    <x v="1"/>
    <n v="5202000"/>
  </r>
  <r>
    <s v="ORD0012"/>
    <x v="10"/>
    <x v="6"/>
    <x v="2"/>
    <n v="1000"/>
    <n v="45"/>
    <n v="45000"/>
    <x v="6"/>
    <x v="3"/>
    <x v="2"/>
    <x v="0"/>
    <n v="2025000"/>
  </r>
  <r>
    <s v="ORD0013"/>
    <x v="11"/>
    <x v="7"/>
    <x v="1"/>
    <n v="500"/>
    <n v="63"/>
    <n v="31500"/>
    <x v="7"/>
    <x v="1"/>
    <x v="4"/>
    <x v="1"/>
    <n v="1984500"/>
  </r>
  <r>
    <s v="ORD0014"/>
    <x v="12"/>
    <x v="8"/>
    <x v="4"/>
    <n v="2000"/>
    <n v="35"/>
    <n v="70000"/>
    <x v="6"/>
    <x v="5"/>
    <x v="2"/>
    <x v="1"/>
    <n v="2450000"/>
  </r>
  <r>
    <s v="ORD0015"/>
    <x v="13"/>
    <x v="2"/>
    <x v="1"/>
    <n v="3000"/>
    <n v="44"/>
    <n v="132000"/>
    <x v="2"/>
    <x v="7"/>
    <x v="2"/>
    <x v="0"/>
    <n v="5808000"/>
  </r>
  <r>
    <s v="ORD0016"/>
    <x v="14"/>
    <x v="9"/>
    <x v="4"/>
    <n v="5000"/>
    <n v="22"/>
    <n v="110000"/>
    <x v="2"/>
    <x v="6"/>
    <x v="2"/>
    <x v="1"/>
    <n v="2420000"/>
  </r>
  <r>
    <s v="ORD0017"/>
    <x v="15"/>
    <x v="3"/>
    <x v="2"/>
    <n v="2000"/>
    <n v="16"/>
    <n v="32000"/>
    <x v="0"/>
    <x v="0"/>
    <x v="1"/>
    <x v="0"/>
    <n v="512000"/>
  </r>
  <r>
    <s v="ORD0018"/>
    <x v="16"/>
    <x v="4"/>
    <x v="1"/>
    <n v="2000"/>
    <n v="12"/>
    <n v="24000"/>
    <x v="6"/>
    <x v="8"/>
    <x v="1"/>
    <x v="0"/>
    <n v="288000"/>
  </r>
  <r>
    <s v="ORD0019"/>
    <x v="17"/>
    <x v="0"/>
    <x v="0"/>
    <n v="1000"/>
    <n v="31"/>
    <n v="31000"/>
    <x v="3"/>
    <x v="4"/>
    <x v="2"/>
    <x v="0"/>
    <n v="961000"/>
  </r>
  <r>
    <s v="ORD0020"/>
    <x v="18"/>
    <x v="1"/>
    <x v="1"/>
    <n v="500"/>
    <n v="63"/>
    <n v="31500"/>
    <x v="3"/>
    <x v="7"/>
    <x v="0"/>
    <x v="1"/>
    <n v="1984500"/>
  </r>
  <r>
    <s v="ORD0021"/>
    <x v="19"/>
    <x v="1"/>
    <x v="1"/>
    <n v="2000"/>
    <n v="35"/>
    <n v="70000"/>
    <x v="8"/>
    <x v="5"/>
    <x v="0"/>
    <x v="0"/>
    <n v="2450000"/>
  </r>
  <r>
    <s v="ORD0022"/>
    <x v="18"/>
    <x v="9"/>
    <x v="4"/>
    <n v="3000"/>
    <n v="44"/>
    <n v="132000"/>
    <x v="3"/>
    <x v="4"/>
    <x v="2"/>
    <x v="1"/>
    <n v="5808000"/>
  </r>
  <r>
    <s v="ORD0023"/>
    <x v="20"/>
    <x v="5"/>
    <x v="3"/>
    <n v="5000"/>
    <n v="22"/>
    <n v="110000"/>
    <x v="0"/>
    <x v="4"/>
    <x v="2"/>
    <x v="0"/>
    <n v="2420000"/>
  </r>
  <r>
    <s v="ORD0024"/>
    <x v="21"/>
    <x v="9"/>
    <x v="4"/>
    <n v="2000"/>
    <n v="16"/>
    <n v="32000"/>
    <x v="8"/>
    <x v="3"/>
    <x v="2"/>
    <x v="1"/>
    <n v="512000"/>
  </r>
  <r>
    <s v="ORD0025"/>
    <x v="6"/>
    <x v="5"/>
    <x v="3"/>
    <n v="2000"/>
    <n v="12"/>
    <n v="24000"/>
    <x v="4"/>
    <x v="7"/>
    <x v="1"/>
    <x v="1"/>
    <n v="288000"/>
  </r>
  <r>
    <s v="ORD0026"/>
    <x v="22"/>
    <x v="8"/>
    <x v="4"/>
    <n v="1000"/>
    <n v="31"/>
    <n v="31000"/>
    <x v="3"/>
    <x v="6"/>
    <x v="0"/>
    <x v="1"/>
    <n v="961000"/>
  </r>
  <r>
    <s v="ORD0027"/>
    <x v="23"/>
    <x v="3"/>
    <x v="2"/>
    <n v="500"/>
    <n v="35"/>
    <n v="17500"/>
    <x v="7"/>
    <x v="0"/>
    <x v="1"/>
    <x v="0"/>
    <n v="612500"/>
  </r>
  <r>
    <s v="ORD0028"/>
    <x v="24"/>
    <x v="1"/>
    <x v="1"/>
    <n v="2000"/>
    <n v="44"/>
    <n v="88000"/>
    <x v="9"/>
    <x v="9"/>
    <x v="1"/>
    <x v="0"/>
    <n v="3872000"/>
  </r>
  <r>
    <s v="ORD0029"/>
    <x v="25"/>
    <x v="4"/>
    <x v="1"/>
    <n v="3000"/>
    <n v="22"/>
    <n v="66000"/>
    <x v="4"/>
    <x v="2"/>
    <x v="2"/>
    <x v="0"/>
    <n v="1452000"/>
  </r>
  <r>
    <s v="ORD0030"/>
    <x v="16"/>
    <x v="8"/>
    <x v="4"/>
    <n v="5000"/>
    <n v="16"/>
    <n v="80000"/>
    <x v="1"/>
    <x v="3"/>
    <x v="4"/>
    <x v="1"/>
    <n v="1280000"/>
  </r>
  <r>
    <s v="ORD0031"/>
    <x v="21"/>
    <x v="4"/>
    <x v="1"/>
    <n v="2000"/>
    <n v="12"/>
    <n v="24000"/>
    <x v="2"/>
    <x v="4"/>
    <x v="4"/>
    <x v="1"/>
    <n v="288000"/>
  </r>
  <r>
    <s v="ORD0032"/>
    <x v="4"/>
    <x v="4"/>
    <x v="1"/>
    <n v="2000"/>
    <n v="31"/>
    <n v="62000"/>
    <x v="6"/>
    <x v="7"/>
    <x v="3"/>
    <x v="0"/>
    <n v="1922000"/>
  </r>
  <r>
    <s v="ORD0033"/>
    <x v="26"/>
    <x v="5"/>
    <x v="3"/>
    <n v="1000"/>
    <n v="40"/>
    <n v="40000"/>
    <x v="3"/>
    <x v="0"/>
    <x v="0"/>
    <x v="1"/>
    <n v="1600000"/>
  </r>
  <r>
    <s v="ORD0034"/>
    <x v="27"/>
    <x v="3"/>
    <x v="2"/>
    <n v="500"/>
    <n v="63"/>
    <n v="31500"/>
    <x v="9"/>
    <x v="0"/>
    <x v="2"/>
    <x v="1"/>
    <n v="1984500"/>
  </r>
  <r>
    <s v="ORD0035"/>
    <x v="27"/>
    <x v="7"/>
    <x v="1"/>
    <n v="2000"/>
    <n v="35"/>
    <n v="70000"/>
    <x v="0"/>
    <x v="2"/>
    <x v="1"/>
    <x v="0"/>
    <n v="2450000"/>
  </r>
  <r>
    <s v="ORD0036"/>
    <x v="28"/>
    <x v="9"/>
    <x v="4"/>
    <n v="3000"/>
    <n v="44"/>
    <n v="132000"/>
    <x v="4"/>
    <x v="6"/>
    <x v="3"/>
    <x v="1"/>
    <n v="5808000"/>
  </r>
  <r>
    <s v="ORD0037"/>
    <x v="29"/>
    <x v="1"/>
    <x v="1"/>
    <n v="5000"/>
    <n v="22"/>
    <n v="110000"/>
    <x v="6"/>
    <x v="0"/>
    <x v="0"/>
    <x v="1"/>
    <n v="2420000"/>
  </r>
  <r>
    <s v="ORD0038"/>
    <x v="30"/>
    <x v="7"/>
    <x v="1"/>
    <n v="2000"/>
    <n v="16"/>
    <n v="32000"/>
    <x v="3"/>
    <x v="9"/>
    <x v="1"/>
    <x v="0"/>
    <n v="512000"/>
  </r>
  <r>
    <s v="ORD0039"/>
    <x v="6"/>
    <x v="7"/>
    <x v="1"/>
    <n v="2000"/>
    <n v="12"/>
    <n v="24000"/>
    <x v="3"/>
    <x v="1"/>
    <x v="3"/>
    <x v="0"/>
    <n v="288000"/>
  </r>
  <r>
    <s v="ORD0040"/>
    <x v="30"/>
    <x v="2"/>
    <x v="1"/>
    <n v="1000"/>
    <n v="22"/>
    <n v="22000"/>
    <x v="1"/>
    <x v="7"/>
    <x v="4"/>
    <x v="1"/>
    <n v="484000"/>
  </r>
  <r>
    <s v="ORD0041"/>
    <x v="13"/>
    <x v="5"/>
    <x v="3"/>
    <n v="500"/>
    <n v="16"/>
    <n v="8000"/>
    <x v="9"/>
    <x v="5"/>
    <x v="2"/>
    <x v="0"/>
    <n v="128000"/>
  </r>
  <r>
    <s v="ORD0042"/>
    <x v="31"/>
    <x v="1"/>
    <x v="1"/>
    <n v="2000"/>
    <n v="12"/>
    <n v="24000"/>
    <x v="9"/>
    <x v="9"/>
    <x v="1"/>
    <x v="1"/>
    <n v="288000"/>
  </r>
  <r>
    <s v="ORD0043"/>
    <x v="32"/>
    <x v="3"/>
    <x v="2"/>
    <n v="3000"/>
    <n v="31"/>
    <n v="93000"/>
    <x v="9"/>
    <x v="2"/>
    <x v="2"/>
    <x v="0"/>
    <n v="2883000"/>
  </r>
  <r>
    <s v="ORD0044"/>
    <x v="21"/>
    <x v="2"/>
    <x v="1"/>
    <n v="5000"/>
    <n v="40"/>
    <n v="200000"/>
    <x v="8"/>
    <x v="4"/>
    <x v="0"/>
    <x v="1"/>
    <n v="8000000"/>
  </r>
  <r>
    <s v="ORD0045"/>
    <x v="33"/>
    <x v="9"/>
    <x v="4"/>
    <n v="2000"/>
    <n v="33"/>
    <n v="66000"/>
    <x v="7"/>
    <x v="0"/>
    <x v="2"/>
    <x v="1"/>
    <n v="2178000"/>
  </r>
  <r>
    <s v="ORD0046"/>
    <x v="34"/>
    <x v="0"/>
    <x v="0"/>
    <n v="2000"/>
    <n v="54"/>
    <n v="108000"/>
    <x v="5"/>
    <x v="4"/>
    <x v="0"/>
    <x v="1"/>
    <n v="5832000"/>
  </r>
  <r>
    <s v="ORD0047"/>
    <x v="30"/>
    <x v="3"/>
    <x v="2"/>
    <n v="1000"/>
    <n v="56"/>
    <n v="56000"/>
    <x v="8"/>
    <x v="5"/>
    <x v="4"/>
    <x v="0"/>
    <n v="3136000"/>
  </r>
  <r>
    <s v="ORD0048"/>
    <x v="35"/>
    <x v="3"/>
    <x v="2"/>
    <n v="500"/>
    <n v="72"/>
    <n v="36000"/>
    <x v="9"/>
    <x v="2"/>
    <x v="1"/>
    <x v="0"/>
    <n v="2592000"/>
  </r>
  <r>
    <s v="ORD0049"/>
    <x v="36"/>
    <x v="4"/>
    <x v="1"/>
    <n v="2000"/>
    <n v="12"/>
    <n v="24000"/>
    <x v="0"/>
    <x v="9"/>
    <x v="0"/>
    <x v="0"/>
    <n v="288000"/>
  </r>
  <r>
    <s v="ORD0050"/>
    <x v="0"/>
    <x v="6"/>
    <x v="2"/>
    <n v="3000"/>
    <n v="45"/>
    <n v="135000"/>
    <x v="2"/>
    <x v="6"/>
    <x v="4"/>
    <x v="1"/>
    <n v="6075000"/>
  </r>
  <r>
    <s v="ORD0051"/>
    <x v="3"/>
    <x v="5"/>
    <x v="3"/>
    <n v="5000"/>
    <n v="67"/>
    <n v="335000"/>
    <x v="0"/>
    <x v="4"/>
    <x v="4"/>
    <x v="1"/>
    <n v="22445000"/>
  </r>
  <r>
    <s v="ORD0052"/>
    <x v="37"/>
    <x v="7"/>
    <x v="1"/>
    <n v="2000"/>
    <n v="23"/>
    <n v="46000"/>
    <x v="2"/>
    <x v="1"/>
    <x v="2"/>
    <x v="0"/>
    <n v="1058000"/>
  </r>
  <r>
    <s v="ORD0053"/>
    <x v="21"/>
    <x v="0"/>
    <x v="0"/>
    <n v="2000"/>
    <n v="89"/>
    <n v="178000"/>
    <x v="1"/>
    <x v="8"/>
    <x v="3"/>
    <x v="1"/>
    <n v="15842000"/>
  </r>
  <r>
    <s v="ORD0054"/>
    <x v="33"/>
    <x v="2"/>
    <x v="1"/>
    <n v="1000"/>
    <n v="42"/>
    <n v="42000"/>
    <x v="5"/>
    <x v="6"/>
    <x v="4"/>
    <x v="1"/>
    <n v="1764000"/>
  </r>
  <r>
    <s v="ORD0055"/>
    <x v="33"/>
    <x v="6"/>
    <x v="2"/>
    <n v="500"/>
    <n v="51"/>
    <n v="25500"/>
    <x v="4"/>
    <x v="3"/>
    <x v="3"/>
    <x v="0"/>
    <n v="1300500"/>
  </r>
  <r>
    <s v="ORD0056"/>
    <x v="38"/>
    <x v="2"/>
    <x v="1"/>
    <n v="2000"/>
    <n v="63"/>
    <n v="126000"/>
    <x v="0"/>
    <x v="3"/>
    <x v="2"/>
    <x v="0"/>
    <n v="7938000"/>
  </r>
  <r>
    <s v="ORD0057"/>
    <x v="33"/>
    <x v="4"/>
    <x v="1"/>
    <n v="3000"/>
    <n v="35"/>
    <n v="105000"/>
    <x v="9"/>
    <x v="8"/>
    <x v="0"/>
    <x v="0"/>
    <n v="3675000"/>
  </r>
  <r>
    <s v="ORD0058"/>
    <x v="10"/>
    <x v="4"/>
    <x v="1"/>
    <n v="5000"/>
    <n v="44"/>
    <n v="220000"/>
    <x v="9"/>
    <x v="9"/>
    <x v="3"/>
    <x v="1"/>
    <n v="9680000"/>
  </r>
  <r>
    <s v="ORD0059"/>
    <x v="15"/>
    <x v="2"/>
    <x v="1"/>
    <n v="2000"/>
    <n v="22"/>
    <n v="44000"/>
    <x v="7"/>
    <x v="3"/>
    <x v="2"/>
    <x v="0"/>
    <n v="968000"/>
  </r>
  <r>
    <s v="ORD0060"/>
    <x v="8"/>
    <x v="5"/>
    <x v="3"/>
    <n v="2000"/>
    <n v="16"/>
    <n v="32000"/>
    <x v="9"/>
    <x v="3"/>
    <x v="2"/>
    <x v="1"/>
    <n v="512000"/>
  </r>
  <r>
    <s v="ORD0061"/>
    <x v="39"/>
    <x v="9"/>
    <x v="4"/>
    <n v="1000"/>
    <n v="12"/>
    <n v="12000"/>
    <x v="9"/>
    <x v="0"/>
    <x v="3"/>
    <x v="1"/>
    <n v="144000"/>
  </r>
  <r>
    <s v="ORD0062"/>
    <x v="16"/>
    <x v="7"/>
    <x v="1"/>
    <n v="500"/>
    <n v="63"/>
    <n v="31500"/>
    <x v="3"/>
    <x v="1"/>
    <x v="3"/>
    <x v="1"/>
    <n v="1984500"/>
  </r>
  <r>
    <s v="ORD0063"/>
    <x v="40"/>
    <x v="4"/>
    <x v="1"/>
    <n v="2000"/>
    <n v="35"/>
    <n v="70000"/>
    <x v="0"/>
    <x v="5"/>
    <x v="4"/>
    <x v="0"/>
    <n v="2450000"/>
  </r>
  <r>
    <s v="ORD0064"/>
    <x v="41"/>
    <x v="9"/>
    <x v="4"/>
    <n v="3000"/>
    <n v="44"/>
    <n v="132000"/>
    <x v="1"/>
    <x v="2"/>
    <x v="3"/>
    <x v="0"/>
    <n v="5808000"/>
  </r>
  <r>
    <s v="ORD0065"/>
    <x v="42"/>
    <x v="5"/>
    <x v="3"/>
    <n v="5000"/>
    <n v="22"/>
    <n v="110000"/>
    <x v="0"/>
    <x v="1"/>
    <x v="1"/>
    <x v="0"/>
    <n v="2420000"/>
  </r>
  <r>
    <s v="ORD0066"/>
    <x v="0"/>
    <x v="2"/>
    <x v="1"/>
    <n v="2000"/>
    <n v="16"/>
    <n v="32000"/>
    <x v="6"/>
    <x v="2"/>
    <x v="3"/>
    <x v="1"/>
    <n v="512000"/>
  </r>
  <r>
    <s v="ORD0067"/>
    <x v="43"/>
    <x v="1"/>
    <x v="1"/>
    <n v="2000"/>
    <n v="12"/>
    <n v="24000"/>
    <x v="8"/>
    <x v="0"/>
    <x v="0"/>
    <x v="1"/>
    <n v="288000"/>
  </r>
  <r>
    <s v="ORD0068"/>
    <x v="20"/>
    <x v="1"/>
    <x v="1"/>
    <n v="1000"/>
    <n v="63"/>
    <n v="63000"/>
    <x v="5"/>
    <x v="4"/>
    <x v="0"/>
    <x v="0"/>
    <n v="3969000"/>
  </r>
  <r>
    <s v="ORD0069"/>
    <x v="44"/>
    <x v="9"/>
    <x v="4"/>
    <n v="500"/>
    <n v="35"/>
    <n v="17500"/>
    <x v="5"/>
    <x v="6"/>
    <x v="4"/>
    <x v="1"/>
    <n v="612500"/>
  </r>
  <r>
    <s v="ORD0070"/>
    <x v="4"/>
    <x v="5"/>
    <x v="3"/>
    <n v="2000"/>
    <n v="44"/>
    <n v="88000"/>
    <x v="1"/>
    <x v="6"/>
    <x v="2"/>
    <x v="0"/>
    <n v="3872000"/>
  </r>
  <r>
    <s v="ORD0071"/>
    <x v="42"/>
    <x v="2"/>
    <x v="1"/>
    <n v="3000"/>
    <n v="22"/>
    <n v="66000"/>
    <x v="2"/>
    <x v="2"/>
    <x v="2"/>
    <x v="1"/>
    <n v="1452000"/>
  </r>
  <r>
    <s v="ORD0072"/>
    <x v="18"/>
    <x v="7"/>
    <x v="1"/>
    <n v="5000"/>
    <n v="16"/>
    <n v="80000"/>
    <x v="7"/>
    <x v="4"/>
    <x v="2"/>
    <x v="1"/>
    <n v="1280000"/>
  </r>
  <r>
    <s v="ORD0073"/>
    <x v="13"/>
    <x v="4"/>
    <x v="1"/>
    <n v="2000"/>
    <n v="12"/>
    <n v="24000"/>
    <x v="1"/>
    <x v="5"/>
    <x v="2"/>
    <x v="0"/>
    <n v="288000"/>
  </r>
  <r>
    <s v="ORD0074"/>
    <x v="45"/>
    <x v="9"/>
    <x v="4"/>
    <n v="2000"/>
    <n v="4"/>
    <n v="8000"/>
    <x v="9"/>
    <x v="3"/>
    <x v="4"/>
    <x v="1"/>
    <n v="32000"/>
  </r>
  <r>
    <s v="ORD0075"/>
    <x v="14"/>
    <x v="1"/>
    <x v="1"/>
    <n v="1000"/>
    <n v="33"/>
    <n v="33000"/>
    <x v="7"/>
    <x v="6"/>
    <x v="3"/>
    <x v="0"/>
    <n v="1089000"/>
  </r>
  <r>
    <s v="ORD0076"/>
    <x v="37"/>
    <x v="8"/>
    <x v="4"/>
    <n v="500"/>
    <n v="54"/>
    <n v="27000"/>
    <x v="9"/>
    <x v="3"/>
    <x v="1"/>
    <x v="1"/>
    <n v="1458000"/>
  </r>
  <r>
    <s v="ORD0077"/>
    <x v="1"/>
    <x v="1"/>
    <x v="1"/>
    <n v="2000"/>
    <n v="56"/>
    <n v="112000"/>
    <x v="7"/>
    <x v="4"/>
    <x v="2"/>
    <x v="1"/>
    <n v="6272000"/>
  </r>
  <r>
    <s v="ORD0078"/>
    <x v="5"/>
    <x v="2"/>
    <x v="1"/>
    <n v="3000"/>
    <n v="72"/>
    <n v="216000"/>
    <x v="0"/>
    <x v="8"/>
    <x v="4"/>
    <x v="1"/>
    <n v="15552000"/>
  </r>
  <r>
    <s v="ORD0079"/>
    <x v="46"/>
    <x v="0"/>
    <x v="0"/>
    <n v="5000"/>
    <n v="12"/>
    <n v="60000"/>
    <x v="1"/>
    <x v="2"/>
    <x v="4"/>
    <x v="0"/>
    <n v="720000"/>
  </r>
  <r>
    <s v="ORD0080"/>
    <x v="20"/>
    <x v="0"/>
    <x v="0"/>
    <n v="2000"/>
    <n v="45"/>
    <n v="90000"/>
    <x v="4"/>
    <x v="1"/>
    <x v="0"/>
    <x v="0"/>
    <n v="4050000"/>
  </r>
  <r>
    <s v="ORD0081"/>
    <x v="14"/>
    <x v="1"/>
    <x v="1"/>
    <n v="2000"/>
    <n v="67"/>
    <n v="134000"/>
    <x v="6"/>
    <x v="9"/>
    <x v="3"/>
    <x v="0"/>
    <n v="8978000"/>
  </r>
  <r>
    <s v="ORD0082"/>
    <x v="37"/>
    <x v="4"/>
    <x v="1"/>
    <n v="1000"/>
    <n v="23"/>
    <n v="23000"/>
    <x v="9"/>
    <x v="7"/>
    <x v="0"/>
    <x v="1"/>
    <n v="529000"/>
  </r>
  <r>
    <s v="ORD0083"/>
    <x v="47"/>
    <x v="8"/>
    <x v="4"/>
    <n v="500"/>
    <n v="89"/>
    <n v="44500"/>
    <x v="0"/>
    <x v="4"/>
    <x v="4"/>
    <x v="1"/>
    <n v="3960500"/>
  </r>
  <r>
    <s v="ORD0084"/>
    <x v="22"/>
    <x v="3"/>
    <x v="2"/>
    <n v="2000"/>
    <n v="42"/>
    <n v="84000"/>
    <x v="3"/>
    <x v="6"/>
    <x v="3"/>
    <x v="0"/>
    <n v="3528000"/>
  </r>
  <r>
    <s v="ORD0085"/>
    <x v="48"/>
    <x v="4"/>
    <x v="1"/>
    <n v="3000"/>
    <n v="51"/>
    <n v="153000"/>
    <x v="6"/>
    <x v="4"/>
    <x v="3"/>
    <x v="1"/>
    <n v="7803000"/>
  </r>
  <r>
    <s v="ORD0086"/>
    <x v="44"/>
    <x v="2"/>
    <x v="1"/>
    <n v="5000"/>
    <n v="63"/>
    <n v="315000"/>
    <x v="9"/>
    <x v="3"/>
    <x v="3"/>
    <x v="0"/>
    <n v="19845000"/>
  </r>
  <r>
    <s v="ORD0087"/>
    <x v="10"/>
    <x v="0"/>
    <x v="0"/>
    <n v="2000"/>
    <n v="35"/>
    <n v="70000"/>
    <x v="0"/>
    <x v="5"/>
    <x v="0"/>
    <x v="1"/>
    <n v="2450000"/>
  </r>
  <r>
    <s v="ORD0088"/>
    <x v="48"/>
    <x v="9"/>
    <x v="4"/>
    <n v="2000"/>
    <n v="44"/>
    <n v="88000"/>
    <x v="8"/>
    <x v="7"/>
    <x v="0"/>
    <x v="0"/>
    <n v="3872000"/>
  </r>
  <r>
    <s v="ORD0089"/>
    <x v="30"/>
    <x v="0"/>
    <x v="0"/>
    <n v="1000"/>
    <n v="22"/>
    <n v="22000"/>
    <x v="0"/>
    <x v="8"/>
    <x v="2"/>
    <x v="1"/>
    <n v="484000"/>
  </r>
  <r>
    <s v="ORD0090"/>
    <x v="21"/>
    <x v="2"/>
    <x v="1"/>
    <n v="500"/>
    <n v="16"/>
    <n v="8000"/>
    <x v="1"/>
    <x v="4"/>
    <x v="1"/>
    <x v="1"/>
    <n v="128000"/>
  </r>
  <r>
    <s v="ORD0091"/>
    <x v="24"/>
    <x v="7"/>
    <x v="1"/>
    <n v="2000"/>
    <n v="12"/>
    <n v="24000"/>
    <x v="7"/>
    <x v="4"/>
    <x v="4"/>
    <x v="1"/>
    <n v="288000"/>
  </r>
  <r>
    <s v="ORD0092"/>
    <x v="33"/>
    <x v="4"/>
    <x v="1"/>
    <n v="3000"/>
    <n v="33"/>
    <n v="99000"/>
    <x v="3"/>
    <x v="6"/>
    <x v="3"/>
    <x v="0"/>
    <n v="3267000"/>
  </r>
  <r>
    <s v="ORD0093"/>
    <x v="34"/>
    <x v="9"/>
    <x v="4"/>
    <n v="5000"/>
    <n v="54"/>
    <n v="270000"/>
    <x v="5"/>
    <x v="2"/>
    <x v="3"/>
    <x v="0"/>
    <n v="14580000"/>
  </r>
  <r>
    <s v="ORD0094"/>
    <x v="45"/>
    <x v="6"/>
    <x v="2"/>
    <n v="2000"/>
    <n v="56"/>
    <n v="112000"/>
    <x v="7"/>
    <x v="7"/>
    <x v="2"/>
    <x v="0"/>
    <n v="6272000"/>
  </r>
  <r>
    <s v="ORD0095"/>
    <x v="9"/>
    <x v="2"/>
    <x v="1"/>
    <n v="2000"/>
    <n v="72"/>
    <n v="144000"/>
    <x v="8"/>
    <x v="0"/>
    <x v="0"/>
    <x v="1"/>
    <n v="10368000"/>
  </r>
  <r>
    <s v="ORD0096"/>
    <x v="40"/>
    <x v="2"/>
    <x v="1"/>
    <n v="1000"/>
    <n v="12"/>
    <n v="12000"/>
    <x v="9"/>
    <x v="0"/>
    <x v="1"/>
    <x v="1"/>
    <n v="144000"/>
  </r>
  <r>
    <s v="ORD0097"/>
    <x v="45"/>
    <x v="5"/>
    <x v="3"/>
    <n v="500"/>
    <n v="45"/>
    <n v="22500"/>
    <x v="3"/>
    <x v="9"/>
    <x v="1"/>
    <x v="0"/>
    <n v="1012500"/>
  </r>
  <r>
    <s v="ORD0098"/>
    <x v="22"/>
    <x v="2"/>
    <x v="1"/>
    <n v="2000"/>
    <n v="67"/>
    <n v="134000"/>
    <x v="8"/>
    <x v="5"/>
    <x v="3"/>
    <x v="1"/>
    <n v="8978000"/>
  </r>
  <r>
    <s v="ORD0099"/>
    <x v="36"/>
    <x v="8"/>
    <x v="4"/>
    <n v="3000"/>
    <n v="23"/>
    <n v="69000"/>
    <x v="6"/>
    <x v="7"/>
    <x v="0"/>
    <x v="0"/>
    <n v="1587000"/>
  </r>
  <r>
    <s v="ORD0100"/>
    <x v="41"/>
    <x v="0"/>
    <x v="0"/>
    <n v="5000"/>
    <n v="89"/>
    <n v="445000"/>
    <x v="9"/>
    <x v="4"/>
    <x v="4"/>
    <x v="0"/>
    <n v="39605000"/>
  </r>
  <r>
    <s v="ORD0101"/>
    <x v="13"/>
    <x v="5"/>
    <x v="3"/>
    <n v="2000"/>
    <n v="42"/>
    <n v="84000"/>
    <x v="2"/>
    <x v="2"/>
    <x v="3"/>
    <x v="1"/>
    <n v="3528000"/>
  </r>
  <r>
    <s v="ORD0102"/>
    <x v="47"/>
    <x v="4"/>
    <x v="1"/>
    <n v="2000"/>
    <n v="51"/>
    <n v="102000"/>
    <x v="5"/>
    <x v="6"/>
    <x v="3"/>
    <x v="0"/>
    <n v="5202000"/>
  </r>
  <r>
    <s v="ORD0103"/>
    <x v="0"/>
    <x v="3"/>
    <x v="2"/>
    <n v="1000"/>
    <n v="63"/>
    <n v="63000"/>
    <x v="6"/>
    <x v="9"/>
    <x v="3"/>
    <x v="1"/>
    <n v="3969000"/>
  </r>
  <r>
    <s v="ORD0104"/>
    <x v="49"/>
    <x v="6"/>
    <x v="2"/>
    <n v="500"/>
    <n v="35"/>
    <n v="17500"/>
    <x v="9"/>
    <x v="3"/>
    <x v="0"/>
    <x v="1"/>
    <n v="612500"/>
  </r>
  <r>
    <s v="ORD0105"/>
    <x v="42"/>
    <x v="6"/>
    <x v="2"/>
    <n v="2000"/>
    <n v="44"/>
    <n v="88000"/>
    <x v="9"/>
    <x v="6"/>
    <x v="0"/>
    <x v="1"/>
    <n v="3872000"/>
  </r>
  <r>
    <s v="ORD0106"/>
    <x v="33"/>
    <x v="3"/>
    <x v="2"/>
    <n v="3000"/>
    <n v="22"/>
    <n v="66000"/>
    <x v="3"/>
    <x v="9"/>
    <x v="3"/>
    <x v="0"/>
    <n v="1452000"/>
  </r>
  <r>
    <s v="ORD0107"/>
    <x v="38"/>
    <x v="6"/>
    <x v="2"/>
    <n v="5000"/>
    <n v="16"/>
    <n v="80000"/>
    <x v="3"/>
    <x v="3"/>
    <x v="2"/>
    <x v="0"/>
    <n v="1280000"/>
  </r>
  <r>
    <s v="ORD0108"/>
    <x v="42"/>
    <x v="1"/>
    <x v="1"/>
    <n v="2000"/>
    <n v="12"/>
    <n v="24000"/>
    <x v="7"/>
    <x v="5"/>
    <x v="3"/>
    <x v="0"/>
    <n v="288000"/>
  </r>
  <r>
    <s v="ORD0109"/>
    <x v="31"/>
    <x v="6"/>
    <x v="2"/>
    <n v="2000"/>
    <n v="33"/>
    <n v="66000"/>
    <x v="6"/>
    <x v="0"/>
    <x v="3"/>
    <x v="1"/>
    <n v="2178000"/>
  </r>
  <r>
    <s v="ORD0110"/>
    <x v="36"/>
    <x v="4"/>
    <x v="1"/>
    <n v="1000"/>
    <n v="54"/>
    <n v="54000"/>
    <x v="3"/>
    <x v="3"/>
    <x v="1"/>
    <x v="1"/>
    <n v="2916000"/>
  </r>
  <r>
    <s v="ORD0111"/>
    <x v="43"/>
    <x v="7"/>
    <x v="1"/>
    <n v="500"/>
    <n v="56"/>
    <n v="28000"/>
    <x v="0"/>
    <x v="8"/>
    <x v="2"/>
    <x v="0"/>
    <n v="1568000"/>
  </r>
  <r>
    <s v="ORD0112"/>
    <x v="34"/>
    <x v="8"/>
    <x v="4"/>
    <n v="2000"/>
    <n v="72"/>
    <n v="144000"/>
    <x v="5"/>
    <x v="3"/>
    <x v="4"/>
    <x v="1"/>
    <n v="10368000"/>
  </r>
  <r>
    <s v="ORD0113"/>
    <x v="38"/>
    <x v="5"/>
    <x v="3"/>
    <n v="3000"/>
    <n v="12"/>
    <n v="36000"/>
    <x v="5"/>
    <x v="1"/>
    <x v="0"/>
    <x v="1"/>
    <n v="432000"/>
  </r>
  <r>
    <s v="ORD0114"/>
    <x v="20"/>
    <x v="0"/>
    <x v="0"/>
    <n v="5000"/>
    <n v="45"/>
    <n v="225000"/>
    <x v="0"/>
    <x v="4"/>
    <x v="2"/>
    <x v="1"/>
    <n v="10125000"/>
  </r>
  <r>
    <s v="ORD0115"/>
    <x v="50"/>
    <x v="0"/>
    <x v="0"/>
    <n v="2000"/>
    <n v="67"/>
    <n v="134000"/>
    <x v="3"/>
    <x v="5"/>
    <x v="1"/>
    <x v="0"/>
    <n v="8978000"/>
  </r>
  <r>
    <s v="ORD0116"/>
    <x v="38"/>
    <x v="7"/>
    <x v="1"/>
    <n v="2000"/>
    <n v="23"/>
    <n v="46000"/>
    <x v="0"/>
    <x v="8"/>
    <x v="1"/>
    <x v="0"/>
    <n v="1058000"/>
  </r>
  <r>
    <s v="ORD0117"/>
    <x v="51"/>
    <x v="3"/>
    <x v="2"/>
    <n v="1000"/>
    <n v="89"/>
    <n v="89000"/>
    <x v="7"/>
    <x v="0"/>
    <x v="2"/>
    <x v="0"/>
    <n v="7921000"/>
  </r>
  <r>
    <s v="ORD0118"/>
    <x v="16"/>
    <x v="1"/>
    <x v="1"/>
    <n v="500"/>
    <n v="42"/>
    <n v="21000"/>
    <x v="2"/>
    <x v="4"/>
    <x v="1"/>
    <x v="0"/>
    <n v="882000"/>
  </r>
  <r>
    <s v="ORD0119"/>
    <x v="42"/>
    <x v="4"/>
    <x v="1"/>
    <n v="2000"/>
    <n v="51"/>
    <n v="102000"/>
    <x v="8"/>
    <x v="9"/>
    <x v="3"/>
    <x v="1"/>
    <n v="5202000"/>
  </r>
  <r>
    <s v="ORD0120"/>
    <x v="29"/>
    <x v="7"/>
    <x v="1"/>
    <n v="3000"/>
    <n v="5"/>
    <n v="15000"/>
    <x v="1"/>
    <x v="2"/>
    <x v="3"/>
    <x v="0"/>
    <n v="75000"/>
  </r>
  <r>
    <s v="ORD0121"/>
    <x v="36"/>
    <x v="4"/>
    <x v="1"/>
    <n v="5000"/>
    <n v="1"/>
    <n v="5000"/>
    <x v="2"/>
    <x v="3"/>
    <x v="4"/>
    <x v="1"/>
    <n v="5000"/>
  </r>
  <r>
    <s v="ORD0122"/>
    <x v="52"/>
    <x v="7"/>
    <x v="1"/>
    <n v="2000"/>
    <n v="3"/>
    <n v="6000"/>
    <x v="2"/>
    <x v="5"/>
    <x v="2"/>
    <x v="0"/>
    <n v="18000"/>
  </r>
  <r>
    <s v="ORD0123"/>
    <x v="20"/>
    <x v="5"/>
    <x v="3"/>
    <n v="2000"/>
    <n v="3"/>
    <n v="6000"/>
    <x v="8"/>
    <x v="6"/>
    <x v="4"/>
    <x v="1"/>
    <n v="18000"/>
  </r>
  <r>
    <s v="ORD0124"/>
    <x v="16"/>
    <x v="5"/>
    <x v="3"/>
    <n v="1000"/>
    <n v="1"/>
    <n v="1000"/>
    <x v="0"/>
    <x v="7"/>
    <x v="4"/>
    <x v="0"/>
    <n v="1000"/>
  </r>
  <r>
    <s v="ORD0125"/>
    <x v="20"/>
    <x v="4"/>
    <x v="1"/>
    <n v="500"/>
    <n v="1"/>
    <n v="500"/>
    <x v="1"/>
    <x v="2"/>
    <x v="1"/>
    <x v="1"/>
    <n v="500"/>
  </r>
  <r>
    <s v="ORD0126"/>
    <x v="26"/>
    <x v="9"/>
    <x v="4"/>
    <n v="2000"/>
    <n v="33"/>
    <n v="66000"/>
    <x v="3"/>
    <x v="9"/>
    <x v="4"/>
    <x v="1"/>
    <n v="2178000"/>
  </r>
  <r>
    <s v="ORD0127"/>
    <x v="36"/>
    <x v="3"/>
    <x v="2"/>
    <n v="3000"/>
    <n v="54"/>
    <n v="162000"/>
    <x v="0"/>
    <x v="3"/>
    <x v="0"/>
    <x v="1"/>
    <n v="8748000"/>
  </r>
  <r>
    <s v="ORD0128"/>
    <x v="53"/>
    <x v="2"/>
    <x v="1"/>
    <n v="5000"/>
    <n v="56"/>
    <n v="280000"/>
    <x v="1"/>
    <x v="3"/>
    <x v="3"/>
    <x v="0"/>
    <n v="15680000"/>
  </r>
  <r>
    <s v="ORD0129"/>
    <x v="14"/>
    <x v="6"/>
    <x v="2"/>
    <n v="2000"/>
    <n v="72"/>
    <n v="144000"/>
    <x v="1"/>
    <x v="0"/>
    <x v="0"/>
    <x v="0"/>
    <n v="10368000"/>
  </r>
  <r>
    <s v="ORD0130"/>
    <x v="16"/>
    <x v="2"/>
    <x v="1"/>
    <n v="2000"/>
    <n v="12"/>
    <n v="24000"/>
    <x v="5"/>
    <x v="6"/>
    <x v="3"/>
    <x v="0"/>
    <n v="288000"/>
  </r>
  <r>
    <s v="ORD0131"/>
    <x v="14"/>
    <x v="6"/>
    <x v="2"/>
    <n v="1000"/>
    <n v="45"/>
    <n v="45000"/>
    <x v="7"/>
    <x v="9"/>
    <x v="2"/>
    <x v="1"/>
    <n v="2025000"/>
  </r>
  <r>
    <s v="ORD0132"/>
    <x v="18"/>
    <x v="4"/>
    <x v="1"/>
    <n v="500"/>
    <n v="67"/>
    <n v="33500"/>
    <x v="3"/>
    <x v="9"/>
    <x v="0"/>
    <x v="1"/>
    <n v="2244500"/>
  </r>
  <r>
    <s v="ORD0133"/>
    <x v="20"/>
    <x v="7"/>
    <x v="1"/>
    <n v="2000"/>
    <n v="23"/>
    <n v="46000"/>
    <x v="1"/>
    <x v="0"/>
    <x v="1"/>
    <x v="0"/>
    <n v="1058000"/>
  </r>
  <r>
    <s v="ORD0134"/>
    <x v="23"/>
    <x v="4"/>
    <x v="1"/>
    <n v="3000"/>
    <n v="89"/>
    <n v="267000"/>
    <x v="5"/>
    <x v="9"/>
    <x v="4"/>
    <x v="1"/>
    <n v="23763000"/>
  </r>
  <r>
    <s v="ORD0135"/>
    <x v="16"/>
    <x v="3"/>
    <x v="2"/>
    <n v="5000"/>
    <n v="42"/>
    <n v="210000"/>
    <x v="3"/>
    <x v="5"/>
    <x v="2"/>
    <x v="1"/>
    <n v="8820000"/>
  </r>
  <r>
    <s v="ORD0136"/>
    <x v="35"/>
    <x v="9"/>
    <x v="4"/>
    <n v="2000"/>
    <n v="51"/>
    <n v="102000"/>
    <x v="7"/>
    <x v="1"/>
    <x v="3"/>
    <x v="0"/>
    <n v="5202000"/>
  </r>
  <r>
    <s v="ORD0137"/>
    <x v="1"/>
    <x v="2"/>
    <x v="1"/>
    <n v="2000"/>
    <n v="3"/>
    <n v="6000"/>
    <x v="4"/>
    <x v="1"/>
    <x v="0"/>
    <x v="1"/>
    <n v="18000"/>
  </r>
  <r>
    <s v="ORD0138"/>
    <x v="35"/>
    <x v="2"/>
    <x v="1"/>
    <n v="1000"/>
    <n v="5"/>
    <n v="5000"/>
    <x v="2"/>
    <x v="8"/>
    <x v="2"/>
    <x v="0"/>
    <n v="25000"/>
  </r>
  <r>
    <s v="ORD0139"/>
    <x v="5"/>
    <x v="7"/>
    <x v="1"/>
    <n v="500"/>
    <n v="2"/>
    <n v="1000"/>
    <x v="6"/>
    <x v="2"/>
    <x v="3"/>
    <x v="1"/>
    <n v="2000"/>
  </r>
  <r>
    <s v="ORD0140"/>
    <x v="38"/>
    <x v="2"/>
    <x v="1"/>
    <n v="2000"/>
    <n v="2"/>
    <n v="4000"/>
    <x v="3"/>
    <x v="5"/>
    <x v="0"/>
    <x v="1"/>
    <n v="8000"/>
  </r>
  <r>
    <s v="ORD0141"/>
    <x v="50"/>
    <x v="4"/>
    <x v="1"/>
    <n v="3000"/>
    <n v="2"/>
    <n v="6000"/>
    <x v="2"/>
    <x v="5"/>
    <x v="3"/>
    <x v="1"/>
    <n v="12000"/>
  </r>
  <r>
    <s v="ORD0142"/>
    <x v="33"/>
    <x v="4"/>
    <x v="1"/>
    <n v="5000"/>
    <n v="33"/>
    <n v="165000"/>
    <x v="4"/>
    <x v="5"/>
    <x v="4"/>
    <x v="0"/>
    <n v="5445000"/>
  </r>
  <r>
    <s v="ORD0143"/>
    <x v="43"/>
    <x v="9"/>
    <x v="4"/>
    <n v="2000"/>
    <n v="54"/>
    <n v="108000"/>
    <x v="9"/>
    <x v="3"/>
    <x v="3"/>
    <x v="0"/>
    <n v="5832000"/>
  </r>
  <r>
    <s v="ORD0144"/>
    <x v="51"/>
    <x v="6"/>
    <x v="2"/>
    <n v="2000"/>
    <n v="56"/>
    <n v="112000"/>
    <x v="6"/>
    <x v="8"/>
    <x v="4"/>
    <x v="0"/>
    <n v="6272000"/>
  </r>
  <r>
    <s v="ORD0145"/>
    <x v="7"/>
    <x v="2"/>
    <x v="1"/>
    <n v="1000"/>
    <n v="72"/>
    <n v="72000"/>
    <x v="6"/>
    <x v="7"/>
    <x v="0"/>
    <x v="1"/>
    <n v="5184000"/>
  </r>
  <r>
    <s v="ORD0146"/>
    <x v="45"/>
    <x v="2"/>
    <x v="1"/>
    <n v="500"/>
    <n v="12"/>
    <n v="6000"/>
    <x v="0"/>
    <x v="6"/>
    <x v="0"/>
    <x v="1"/>
    <n v="72000"/>
  </r>
  <r>
    <s v="ORD0147"/>
    <x v="19"/>
    <x v="0"/>
    <x v="0"/>
    <n v="2000"/>
    <n v="45"/>
    <n v="90000"/>
    <x v="9"/>
    <x v="3"/>
    <x v="3"/>
    <x v="0"/>
    <n v="4050000"/>
  </r>
  <r>
    <s v="ORD0148"/>
    <x v="48"/>
    <x v="1"/>
    <x v="1"/>
    <n v="3000"/>
    <n v="67"/>
    <n v="201000"/>
    <x v="1"/>
    <x v="8"/>
    <x v="1"/>
    <x v="1"/>
    <n v="13467000"/>
  </r>
  <r>
    <s v="ORD0149"/>
    <x v="1"/>
    <x v="0"/>
    <x v="0"/>
    <n v="5000"/>
    <n v="23"/>
    <n v="115000"/>
    <x v="6"/>
    <x v="0"/>
    <x v="4"/>
    <x v="1"/>
    <n v="2645000"/>
  </r>
  <r>
    <s v="ORD0150"/>
    <x v="32"/>
    <x v="5"/>
    <x v="3"/>
    <n v="2000"/>
    <n v="89"/>
    <n v="178000"/>
    <x v="7"/>
    <x v="9"/>
    <x v="4"/>
    <x v="0"/>
    <n v="15842000"/>
  </r>
  <r>
    <s v="ORD0151"/>
    <x v="54"/>
    <x v="8"/>
    <x v="4"/>
    <n v="2000"/>
    <n v="42"/>
    <n v="84000"/>
    <x v="9"/>
    <x v="8"/>
    <x v="1"/>
    <x v="1"/>
    <n v="3528000"/>
  </r>
  <r>
    <s v="ORD0152"/>
    <x v="47"/>
    <x v="2"/>
    <x v="1"/>
    <n v="1000"/>
    <n v="51"/>
    <n v="51000"/>
    <x v="2"/>
    <x v="7"/>
    <x v="4"/>
    <x v="0"/>
    <n v="2601000"/>
  </r>
  <r>
    <s v="ORD0153"/>
    <x v="20"/>
    <x v="2"/>
    <x v="1"/>
    <n v="500"/>
    <n v="12"/>
    <n v="6000"/>
    <x v="4"/>
    <x v="1"/>
    <x v="3"/>
    <x v="1"/>
    <n v="72000"/>
  </r>
  <r>
    <s v="ORD0154"/>
    <x v="11"/>
    <x v="1"/>
    <x v="1"/>
    <n v="2000"/>
    <n v="45"/>
    <n v="90000"/>
    <x v="2"/>
    <x v="2"/>
    <x v="0"/>
    <x v="1"/>
    <n v="4050000"/>
  </r>
  <r>
    <s v="ORD0155"/>
    <x v="19"/>
    <x v="9"/>
    <x v="4"/>
    <n v="3000"/>
    <n v="67"/>
    <n v="201000"/>
    <x v="4"/>
    <x v="7"/>
    <x v="2"/>
    <x v="1"/>
    <n v="13467000"/>
  </r>
  <r>
    <s v="ORD0156"/>
    <x v="42"/>
    <x v="2"/>
    <x v="1"/>
    <n v="5000"/>
    <n v="23"/>
    <n v="115000"/>
    <x v="3"/>
    <x v="5"/>
    <x v="3"/>
    <x v="0"/>
    <n v="2645000"/>
  </r>
  <r>
    <s v="ORD0157"/>
    <x v="32"/>
    <x v="4"/>
    <x v="1"/>
    <n v="2000"/>
    <n v="89"/>
    <n v="178000"/>
    <x v="4"/>
    <x v="2"/>
    <x v="2"/>
    <x v="0"/>
    <n v="15842000"/>
  </r>
  <r>
    <s v="ORD0158"/>
    <x v="37"/>
    <x v="7"/>
    <x v="1"/>
    <n v="2000"/>
    <n v="42"/>
    <n v="84000"/>
    <x v="8"/>
    <x v="5"/>
    <x v="0"/>
    <x v="0"/>
    <n v="3528000"/>
  </r>
  <r>
    <s v="ORD0159"/>
    <x v="29"/>
    <x v="3"/>
    <x v="2"/>
    <n v="1000"/>
    <n v="51"/>
    <n v="51000"/>
    <x v="5"/>
    <x v="3"/>
    <x v="4"/>
    <x v="1"/>
    <n v="2601000"/>
  </r>
  <r>
    <s v="ORD0160"/>
    <x v="48"/>
    <x v="8"/>
    <x v="4"/>
    <n v="500"/>
    <n v="3"/>
    <n v="1500"/>
    <x v="3"/>
    <x v="2"/>
    <x v="4"/>
    <x v="1"/>
    <n v="4500"/>
  </r>
  <r>
    <s v="ORD0161"/>
    <x v="49"/>
    <x v="1"/>
    <x v="1"/>
    <n v="2000"/>
    <n v="33"/>
    <n v="66000"/>
    <x v="1"/>
    <x v="8"/>
    <x v="2"/>
    <x v="0"/>
    <n v="2178000"/>
  </r>
  <r>
    <s v="ORD0162"/>
    <x v="28"/>
    <x v="4"/>
    <x v="1"/>
    <n v="3000"/>
    <n v="54"/>
    <n v="162000"/>
    <x v="3"/>
    <x v="9"/>
    <x v="2"/>
    <x v="1"/>
    <n v="8748000"/>
  </r>
  <r>
    <s v="ORD0163"/>
    <x v="13"/>
    <x v="0"/>
    <x v="0"/>
    <n v="5000"/>
    <n v="56"/>
    <n v="280000"/>
    <x v="8"/>
    <x v="4"/>
    <x v="3"/>
    <x v="0"/>
    <n v="15680000"/>
  </r>
  <r>
    <s v="ORD0164"/>
    <x v="44"/>
    <x v="2"/>
    <x v="1"/>
    <n v="2000"/>
    <n v="72"/>
    <n v="144000"/>
    <x v="6"/>
    <x v="6"/>
    <x v="0"/>
    <x v="1"/>
    <n v="10368000"/>
  </r>
  <r>
    <s v="ORD0165"/>
    <x v="0"/>
    <x v="5"/>
    <x v="3"/>
    <n v="2000"/>
    <n v="12"/>
    <n v="24000"/>
    <x v="5"/>
    <x v="0"/>
    <x v="1"/>
    <x v="1"/>
    <n v="288000"/>
  </r>
  <r>
    <s v="ORD0166"/>
    <x v="40"/>
    <x v="8"/>
    <x v="4"/>
    <n v="1000"/>
    <n v="45"/>
    <n v="45000"/>
    <x v="8"/>
    <x v="4"/>
    <x v="2"/>
    <x v="1"/>
    <n v="2025000"/>
  </r>
  <r>
    <s v="ORD0167"/>
    <x v="1"/>
    <x v="9"/>
    <x v="4"/>
    <n v="500"/>
    <n v="67"/>
    <n v="33500"/>
    <x v="3"/>
    <x v="7"/>
    <x v="2"/>
    <x v="0"/>
    <n v="2244500"/>
  </r>
  <r>
    <s v="ORD0168"/>
    <x v="21"/>
    <x v="7"/>
    <x v="1"/>
    <n v="2000"/>
    <n v="23"/>
    <n v="46000"/>
    <x v="6"/>
    <x v="5"/>
    <x v="0"/>
    <x v="1"/>
    <n v="1058000"/>
  </r>
  <r>
    <s v="ORD0169"/>
    <x v="34"/>
    <x v="9"/>
    <x v="4"/>
    <n v="3000"/>
    <n v="89"/>
    <n v="267000"/>
    <x v="2"/>
    <x v="2"/>
    <x v="3"/>
    <x v="0"/>
    <n v="23763000"/>
  </r>
  <r>
    <s v="ORD0170"/>
    <x v="47"/>
    <x v="7"/>
    <x v="1"/>
    <n v="5000"/>
    <n v="42"/>
    <n v="210000"/>
    <x v="0"/>
    <x v="1"/>
    <x v="4"/>
    <x v="1"/>
    <n v="8820000"/>
  </r>
  <r>
    <s v="ORD0171"/>
    <x v="47"/>
    <x v="2"/>
    <x v="1"/>
    <n v="2000"/>
    <n v="51"/>
    <n v="102000"/>
    <x v="7"/>
    <x v="4"/>
    <x v="3"/>
    <x v="0"/>
    <n v="5202000"/>
  </r>
  <r>
    <s v="ORD0172"/>
    <x v="8"/>
    <x v="5"/>
    <x v="3"/>
    <n v="2000"/>
    <n v="54"/>
    <n v="108000"/>
    <x v="5"/>
    <x v="5"/>
    <x v="0"/>
    <x v="0"/>
    <n v="5832000"/>
  </r>
  <r>
    <s v="ORD0173"/>
    <x v="47"/>
    <x v="9"/>
    <x v="4"/>
    <n v="1000"/>
    <n v="56"/>
    <n v="56000"/>
    <x v="3"/>
    <x v="7"/>
    <x v="3"/>
    <x v="1"/>
    <n v="3136000"/>
  </r>
  <r>
    <s v="ORD0174"/>
    <x v="10"/>
    <x v="2"/>
    <x v="1"/>
    <n v="500"/>
    <n v="72"/>
    <n v="36000"/>
    <x v="5"/>
    <x v="9"/>
    <x v="0"/>
    <x v="0"/>
    <n v="2592000"/>
  </r>
  <r>
    <s v="ORD0175"/>
    <x v="21"/>
    <x v="6"/>
    <x v="2"/>
    <n v="2000"/>
    <n v="12"/>
    <n v="24000"/>
    <x v="5"/>
    <x v="0"/>
    <x v="0"/>
    <x v="1"/>
    <n v="288000"/>
  </r>
  <r>
    <s v="ORD0176"/>
    <x v="55"/>
    <x v="5"/>
    <x v="3"/>
    <n v="3000"/>
    <n v="45"/>
    <n v="135000"/>
    <x v="6"/>
    <x v="6"/>
    <x v="1"/>
    <x v="1"/>
    <n v="6075000"/>
  </r>
  <r>
    <s v="ORD0177"/>
    <x v="0"/>
    <x v="5"/>
    <x v="3"/>
    <n v="5000"/>
    <n v="67"/>
    <n v="335000"/>
    <x v="5"/>
    <x v="1"/>
    <x v="2"/>
    <x v="1"/>
    <n v="22445000"/>
  </r>
  <r>
    <s v="ORD0178"/>
    <x v="48"/>
    <x v="4"/>
    <x v="1"/>
    <n v="2000"/>
    <n v="23"/>
    <n v="46000"/>
    <x v="1"/>
    <x v="9"/>
    <x v="3"/>
    <x v="0"/>
    <n v="1058000"/>
  </r>
  <r>
    <s v="ORD0179"/>
    <x v="45"/>
    <x v="6"/>
    <x v="2"/>
    <n v="2000"/>
    <n v="89"/>
    <n v="178000"/>
    <x v="3"/>
    <x v="7"/>
    <x v="3"/>
    <x v="0"/>
    <n v="15842000"/>
  </r>
  <r>
    <s v="ORD0180"/>
    <x v="12"/>
    <x v="9"/>
    <x v="4"/>
    <n v="1000"/>
    <n v="42"/>
    <n v="42000"/>
    <x v="5"/>
    <x v="6"/>
    <x v="4"/>
    <x v="0"/>
    <n v="1764000"/>
  </r>
  <r>
    <s v="ORD0181"/>
    <x v="56"/>
    <x v="0"/>
    <x v="0"/>
    <n v="500"/>
    <n v="51"/>
    <n v="25500"/>
    <x v="5"/>
    <x v="8"/>
    <x v="0"/>
    <x v="1"/>
    <n v="1300500"/>
  </r>
  <r>
    <s v="ORD0182"/>
    <x v="27"/>
    <x v="3"/>
    <x v="2"/>
    <n v="2000"/>
    <n v="5"/>
    <n v="10000"/>
    <x v="0"/>
    <x v="2"/>
    <x v="3"/>
    <x v="1"/>
    <n v="50000"/>
  </r>
  <r>
    <s v="ORD0183"/>
    <x v="45"/>
    <x v="8"/>
    <x v="4"/>
    <n v="3000"/>
    <n v="1"/>
    <n v="3000"/>
    <x v="0"/>
    <x v="7"/>
    <x v="0"/>
    <x v="0"/>
    <n v="3000"/>
  </r>
  <r>
    <s v="ORD0184"/>
    <x v="9"/>
    <x v="5"/>
    <x v="3"/>
    <n v="5000"/>
    <n v="5"/>
    <n v="25000"/>
    <x v="7"/>
    <x v="5"/>
    <x v="0"/>
    <x v="1"/>
    <n v="125000"/>
  </r>
  <r>
    <s v="ORD0185"/>
    <x v="17"/>
    <x v="3"/>
    <x v="2"/>
    <n v="2000"/>
    <n v="1"/>
    <n v="2000"/>
    <x v="8"/>
    <x v="3"/>
    <x v="0"/>
    <x v="0"/>
    <n v="2000"/>
  </r>
  <r>
    <s v="ORD0186"/>
    <x v="6"/>
    <x v="8"/>
    <x v="4"/>
    <n v="2000"/>
    <n v="4"/>
    <n v="8000"/>
    <x v="6"/>
    <x v="0"/>
    <x v="3"/>
    <x v="0"/>
    <n v="32000"/>
  </r>
  <r>
    <s v="ORD0187"/>
    <x v="10"/>
    <x v="7"/>
    <x v="1"/>
    <n v="1000"/>
    <n v="3"/>
    <n v="3000"/>
    <x v="2"/>
    <x v="0"/>
    <x v="3"/>
    <x v="1"/>
    <n v="9000"/>
  </r>
  <r>
    <s v="ORD0188"/>
    <x v="22"/>
    <x v="5"/>
    <x v="3"/>
    <n v="500"/>
    <n v="33"/>
    <n v="16500"/>
    <x v="2"/>
    <x v="6"/>
    <x v="1"/>
    <x v="0"/>
    <n v="544500"/>
  </r>
  <r>
    <s v="ORD0189"/>
    <x v="16"/>
    <x v="7"/>
    <x v="1"/>
    <n v="2000"/>
    <n v="54"/>
    <n v="108000"/>
    <x v="9"/>
    <x v="4"/>
    <x v="1"/>
    <x v="0"/>
    <n v="5832000"/>
  </r>
  <r>
    <s v="ORD0190"/>
    <x v="20"/>
    <x v="0"/>
    <x v="0"/>
    <n v="3000"/>
    <n v="56"/>
    <n v="168000"/>
    <x v="4"/>
    <x v="4"/>
    <x v="3"/>
    <x v="0"/>
    <n v="9408000"/>
  </r>
  <r>
    <s v="ORD0191"/>
    <x v="47"/>
    <x v="6"/>
    <x v="2"/>
    <n v="5000"/>
    <n v="72"/>
    <n v="360000"/>
    <x v="2"/>
    <x v="7"/>
    <x v="1"/>
    <x v="1"/>
    <n v="25920000"/>
  </r>
  <r>
    <s v="ORD0192"/>
    <x v="43"/>
    <x v="1"/>
    <x v="1"/>
    <n v="2000"/>
    <n v="12"/>
    <n v="24000"/>
    <x v="4"/>
    <x v="3"/>
    <x v="4"/>
    <x v="1"/>
    <n v="288000"/>
  </r>
  <r>
    <s v="ORD0193"/>
    <x v="40"/>
    <x v="5"/>
    <x v="3"/>
    <n v="2000"/>
    <n v="45"/>
    <n v="90000"/>
    <x v="5"/>
    <x v="9"/>
    <x v="1"/>
    <x v="1"/>
    <n v="4050000"/>
  </r>
  <r>
    <s v="ORD0194"/>
    <x v="13"/>
    <x v="6"/>
    <x v="2"/>
    <n v="1000"/>
    <n v="67"/>
    <n v="67000"/>
    <x v="2"/>
    <x v="1"/>
    <x v="0"/>
    <x v="0"/>
    <n v="4489000"/>
  </r>
  <r>
    <s v="ORD0195"/>
    <x v="4"/>
    <x v="4"/>
    <x v="1"/>
    <n v="500"/>
    <n v="23"/>
    <n v="11500"/>
    <x v="3"/>
    <x v="2"/>
    <x v="4"/>
    <x v="1"/>
    <n v="264500"/>
  </r>
  <r>
    <s v="ORD0196"/>
    <x v="12"/>
    <x v="1"/>
    <x v="1"/>
    <n v="2000"/>
    <n v="89"/>
    <n v="178000"/>
    <x v="7"/>
    <x v="7"/>
    <x v="0"/>
    <x v="0"/>
    <n v="15842000"/>
  </r>
  <r>
    <s v="ORD0197"/>
    <x v="8"/>
    <x v="0"/>
    <x v="0"/>
    <n v="3000"/>
    <n v="42"/>
    <n v="126000"/>
    <x v="6"/>
    <x v="2"/>
    <x v="4"/>
    <x v="1"/>
    <n v="5292000"/>
  </r>
  <r>
    <s v="ORD0198"/>
    <x v="13"/>
    <x v="7"/>
    <x v="1"/>
    <n v="5000"/>
    <n v="51"/>
    <n v="255000"/>
    <x v="9"/>
    <x v="7"/>
    <x v="1"/>
    <x v="1"/>
    <n v="13005000"/>
  </r>
  <r>
    <s v="ORD0199"/>
    <x v="49"/>
    <x v="4"/>
    <x v="1"/>
    <n v="2000"/>
    <n v="56"/>
    <n v="112000"/>
    <x v="8"/>
    <x v="3"/>
    <x v="2"/>
    <x v="1"/>
    <n v="6272000"/>
  </r>
  <r>
    <s v="ORD0200"/>
    <x v="16"/>
    <x v="5"/>
    <x v="3"/>
    <n v="2000"/>
    <n v="72"/>
    <n v="144000"/>
    <x v="8"/>
    <x v="8"/>
    <x v="0"/>
    <x v="0"/>
    <n v="10368000"/>
  </r>
  <r>
    <s v="ORD0201"/>
    <x v="24"/>
    <x v="5"/>
    <x v="3"/>
    <n v="1000"/>
    <n v="12"/>
    <n v="12000"/>
    <x v="6"/>
    <x v="1"/>
    <x v="2"/>
    <x v="0"/>
    <n v="144000"/>
  </r>
  <r>
    <s v="ORD0202"/>
    <x v="57"/>
    <x v="4"/>
    <x v="1"/>
    <n v="500"/>
    <n v="45"/>
    <n v="22500"/>
    <x v="7"/>
    <x v="5"/>
    <x v="2"/>
    <x v="0"/>
    <n v="1012500"/>
  </r>
  <r>
    <s v="ORD0203"/>
    <x v="57"/>
    <x v="9"/>
    <x v="4"/>
    <n v="2000"/>
    <n v="67"/>
    <n v="134000"/>
    <x v="2"/>
    <x v="3"/>
    <x v="0"/>
    <x v="1"/>
    <n v="8978000"/>
  </r>
  <r>
    <s v="ORD0204"/>
    <x v="7"/>
    <x v="0"/>
    <x v="0"/>
    <n v="3000"/>
    <n v="23"/>
    <n v="69000"/>
    <x v="9"/>
    <x v="5"/>
    <x v="4"/>
    <x v="1"/>
    <n v="1587000"/>
  </r>
  <r>
    <s v="ORD0205"/>
    <x v="51"/>
    <x v="1"/>
    <x v="1"/>
    <n v="5000"/>
    <n v="89"/>
    <n v="445000"/>
    <x v="5"/>
    <x v="4"/>
    <x v="3"/>
    <x v="0"/>
    <n v="39605000"/>
  </r>
  <r>
    <s v="ORD0206"/>
    <x v="25"/>
    <x v="8"/>
    <x v="4"/>
    <n v="2000"/>
    <n v="42"/>
    <n v="84000"/>
    <x v="0"/>
    <x v="5"/>
    <x v="1"/>
    <x v="1"/>
    <n v="3528000"/>
  </r>
  <r>
    <s v="ORD0207"/>
    <x v="50"/>
    <x v="8"/>
    <x v="4"/>
    <n v="2000"/>
    <n v="51"/>
    <n v="102000"/>
    <x v="2"/>
    <x v="5"/>
    <x v="2"/>
    <x v="0"/>
    <n v="5202000"/>
  </r>
  <r>
    <s v="ORD0208"/>
    <x v="58"/>
    <x v="9"/>
    <x v="4"/>
    <n v="1000"/>
    <n v="3"/>
    <n v="3000"/>
    <x v="2"/>
    <x v="5"/>
    <x v="3"/>
    <x v="0"/>
    <n v="9000"/>
  </r>
  <r>
    <s v="ORD0209"/>
    <x v="54"/>
    <x v="6"/>
    <x v="2"/>
    <n v="500"/>
    <n v="5"/>
    <n v="2500"/>
    <x v="7"/>
    <x v="3"/>
    <x v="3"/>
    <x v="0"/>
    <n v="12500"/>
  </r>
  <r>
    <s v="ORD0210"/>
    <x v="53"/>
    <x v="7"/>
    <x v="1"/>
    <n v="2000"/>
    <n v="3"/>
    <n v="6000"/>
    <x v="9"/>
    <x v="0"/>
    <x v="3"/>
    <x v="0"/>
    <n v="18000"/>
  </r>
  <r>
    <s v="ORD0211"/>
    <x v="10"/>
    <x v="4"/>
    <x v="1"/>
    <n v="500"/>
    <n v="1"/>
    <n v="500"/>
    <x v="5"/>
    <x v="5"/>
    <x v="4"/>
    <x v="1"/>
    <n v="500"/>
  </r>
  <r>
    <s v="ORD0212"/>
    <x v="46"/>
    <x v="3"/>
    <x v="2"/>
    <n v="700"/>
    <n v="4"/>
    <n v="2800"/>
    <x v="0"/>
    <x v="4"/>
    <x v="0"/>
    <x v="0"/>
    <n v="11200"/>
  </r>
  <r>
    <s v="ORD0213"/>
    <x v="48"/>
    <x v="7"/>
    <x v="1"/>
    <n v="5392"/>
    <n v="33"/>
    <n v="177936"/>
    <x v="9"/>
    <x v="8"/>
    <x v="1"/>
    <x v="1"/>
    <n v="5871888"/>
  </r>
  <r>
    <s v="ORD0214"/>
    <x v="36"/>
    <x v="2"/>
    <x v="1"/>
    <n v="3000"/>
    <n v="54"/>
    <n v="162000"/>
    <x v="1"/>
    <x v="4"/>
    <x v="0"/>
    <x v="0"/>
    <n v="8748000"/>
  </r>
  <r>
    <s v="ORD0215"/>
    <x v="18"/>
    <x v="0"/>
    <x v="0"/>
    <n v="5000"/>
    <n v="56"/>
    <n v="280000"/>
    <x v="0"/>
    <x v="4"/>
    <x v="3"/>
    <x v="0"/>
    <n v="15680000"/>
  </r>
  <r>
    <s v="ORD0216"/>
    <x v="30"/>
    <x v="6"/>
    <x v="2"/>
    <n v="2000"/>
    <n v="72"/>
    <n v="144000"/>
    <x v="8"/>
    <x v="9"/>
    <x v="2"/>
    <x v="0"/>
    <n v="10368000"/>
  </r>
  <r>
    <s v="ORD0217"/>
    <x v="38"/>
    <x v="0"/>
    <x v="0"/>
    <n v="2000"/>
    <n v="12"/>
    <n v="24000"/>
    <x v="0"/>
    <x v="6"/>
    <x v="4"/>
    <x v="1"/>
    <n v="288000"/>
  </r>
  <r>
    <s v="ORD0218"/>
    <x v="2"/>
    <x v="1"/>
    <x v="1"/>
    <n v="1000"/>
    <n v="45"/>
    <n v="45000"/>
    <x v="7"/>
    <x v="0"/>
    <x v="4"/>
    <x v="0"/>
    <n v="2025000"/>
  </r>
  <r>
    <s v="ORD0219"/>
    <x v="9"/>
    <x v="1"/>
    <x v="1"/>
    <n v="500"/>
    <n v="67"/>
    <n v="33500"/>
    <x v="5"/>
    <x v="4"/>
    <x v="3"/>
    <x v="1"/>
    <n v="2244500"/>
  </r>
  <r>
    <s v="ORD0220"/>
    <x v="16"/>
    <x v="2"/>
    <x v="1"/>
    <n v="2000"/>
    <n v="23"/>
    <n v="46000"/>
    <x v="6"/>
    <x v="2"/>
    <x v="0"/>
    <x v="0"/>
    <n v="1058000"/>
  </r>
  <r>
    <s v="ORD0221"/>
    <x v="47"/>
    <x v="8"/>
    <x v="4"/>
    <n v="500"/>
    <n v="89"/>
    <n v="44500"/>
    <x v="1"/>
    <x v="9"/>
    <x v="4"/>
    <x v="1"/>
    <n v="3960500"/>
  </r>
  <r>
    <s v="ORD0222"/>
    <x v="29"/>
    <x v="8"/>
    <x v="4"/>
    <n v="700"/>
    <n v="42"/>
    <n v="29400"/>
    <x v="8"/>
    <x v="7"/>
    <x v="3"/>
    <x v="1"/>
    <n v="1234800"/>
  </r>
  <r>
    <s v="ORD0223"/>
    <x v="21"/>
    <x v="6"/>
    <x v="2"/>
    <n v="5392"/>
    <n v="51"/>
    <n v="274992"/>
    <x v="5"/>
    <x v="2"/>
    <x v="1"/>
    <x v="1"/>
    <n v="14024592"/>
  </r>
  <r>
    <s v="ORD0224"/>
    <x v="5"/>
    <x v="9"/>
    <x v="4"/>
    <n v="3000"/>
    <n v="1"/>
    <n v="3000"/>
    <x v="9"/>
    <x v="5"/>
    <x v="3"/>
    <x v="0"/>
    <n v="3000"/>
  </r>
  <r>
    <s v="ORD0225"/>
    <x v="39"/>
    <x v="6"/>
    <x v="2"/>
    <n v="5000"/>
    <n v="1"/>
    <n v="5000"/>
    <x v="4"/>
    <x v="0"/>
    <x v="4"/>
    <x v="0"/>
    <n v="5000"/>
  </r>
  <r>
    <s v="ORD0226"/>
    <x v="59"/>
    <x v="0"/>
    <x v="0"/>
    <n v="2000"/>
    <n v="33"/>
    <n v="66000"/>
    <x v="8"/>
    <x v="9"/>
    <x v="1"/>
    <x v="0"/>
    <n v="2178000"/>
  </r>
  <r>
    <s v="ORD0227"/>
    <x v="27"/>
    <x v="1"/>
    <x v="1"/>
    <n v="2000"/>
    <n v="54"/>
    <n v="108000"/>
    <x v="0"/>
    <x v="5"/>
    <x v="1"/>
    <x v="1"/>
    <n v="5832000"/>
  </r>
  <r>
    <s v="ORD0228"/>
    <x v="25"/>
    <x v="0"/>
    <x v="0"/>
    <n v="1000"/>
    <n v="56"/>
    <n v="56000"/>
    <x v="5"/>
    <x v="1"/>
    <x v="2"/>
    <x v="1"/>
    <n v="3136000"/>
  </r>
  <r>
    <s v="ORD0229"/>
    <x v="50"/>
    <x v="0"/>
    <x v="0"/>
    <n v="500"/>
    <n v="72"/>
    <n v="36000"/>
    <x v="0"/>
    <x v="1"/>
    <x v="2"/>
    <x v="0"/>
    <n v="2592000"/>
  </r>
  <r>
    <s v="ORD0230"/>
    <x v="43"/>
    <x v="1"/>
    <x v="1"/>
    <n v="2000"/>
    <n v="12"/>
    <n v="24000"/>
    <x v="9"/>
    <x v="1"/>
    <x v="1"/>
    <x v="1"/>
    <n v="288000"/>
  </r>
  <r>
    <s v="ORD0231"/>
    <x v="29"/>
    <x v="7"/>
    <x v="1"/>
    <n v="500"/>
    <n v="45"/>
    <n v="22500"/>
    <x v="9"/>
    <x v="6"/>
    <x v="2"/>
    <x v="0"/>
    <n v="1012500"/>
  </r>
  <r>
    <s v="ORD0232"/>
    <x v="0"/>
    <x v="9"/>
    <x v="4"/>
    <n v="700"/>
    <n v="67"/>
    <n v="46900"/>
    <x v="0"/>
    <x v="8"/>
    <x v="2"/>
    <x v="1"/>
    <n v="3142300"/>
  </r>
  <r>
    <s v="ORD0233"/>
    <x v="13"/>
    <x v="0"/>
    <x v="0"/>
    <n v="5392"/>
    <n v="23"/>
    <n v="124016"/>
    <x v="5"/>
    <x v="6"/>
    <x v="3"/>
    <x v="0"/>
    <n v="2852368"/>
  </r>
  <r>
    <s v="ORD0234"/>
    <x v="7"/>
    <x v="5"/>
    <x v="3"/>
    <n v="3000"/>
    <n v="89"/>
    <n v="267000"/>
    <x v="9"/>
    <x v="5"/>
    <x v="1"/>
    <x v="1"/>
    <n v="23763000"/>
  </r>
  <r>
    <s v="ORD0235"/>
    <x v="53"/>
    <x v="9"/>
    <x v="4"/>
    <n v="5000"/>
    <n v="42"/>
    <n v="210000"/>
    <x v="7"/>
    <x v="3"/>
    <x v="3"/>
    <x v="1"/>
    <n v="8820000"/>
  </r>
  <r>
    <s v="ORD0236"/>
    <x v="59"/>
    <x v="4"/>
    <x v="1"/>
    <n v="2000"/>
    <n v="51"/>
    <n v="102000"/>
    <x v="2"/>
    <x v="6"/>
    <x v="3"/>
    <x v="1"/>
    <n v="5202000"/>
  </r>
  <r>
    <s v="ORD0237"/>
    <x v="35"/>
    <x v="1"/>
    <x v="1"/>
    <n v="2000"/>
    <n v="3"/>
    <n v="6000"/>
    <x v="6"/>
    <x v="4"/>
    <x v="0"/>
    <x v="0"/>
    <n v="18000"/>
  </r>
  <r>
    <s v="ORD0238"/>
    <x v="42"/>
    <x v="1"/>
    <x v="1"/>
    <n v="1000"/>
    <n v="33"/>
    <n v="33000"/>
    <x v="3"/>
    <x v="2"/>
    <x v="3"/>
    <x v="0"/>
    <n v="1089000"/>
  </r>
  <r>
    <s v="ORD0239"/>
    <x v="17"/>
    <x v="2"/>
    <x v="1"/>
    <n v="500"/>
    <n v="54"/>
    <n v="27000"/>
    <x v="7"/>
    <x v="4"/>
    <x v="1"/>
    <x v="0"/>
    <n v="1458000"/>
  </r>
  <r>
    <s v="ORD0240"/>
    <x v="28"/>
    <x v="2"/>
    <x v="1"/>
    <n v="2000"/>
    <n v="56"/>
    <n v="112000"/>
    <x v="2"/>
    <x v="2"/>
    <x v="4"/>
    <x v="1"/>
    <n v="6272000"/>
  </r>
  <r>
    <s v="ORD0241"/>
    <x v="40"/>
    <x v="4"/>
    <x v="1"/>
    <n v="500"/>
    <n v="72"/>
    <n v="36000"/>
    <x v="3"/>
    <x v="0"/>
    <x v="2"/>
    <x v="1"/>
    <n v="2592000"/>
  </r>
  <r>
    <s v="ORD0242"/>
    <x v="7"/>
    <x v="4"/>
    <x v="1"/>
    <n v="700"/>
    <n v="12"/>
    <n v="8400"/>
    <x v="8"/>
    <x v="6"/>
    <x v="4"/>
    <x v="0"/>
    <n v="100800"/>
  </r>
  <r>
    <s v="ORD0243"/>
    <x v="59"/>
    <x v="0"/>
    <x v="0"/>
    <n v="5392"/>
    <n v="45"/>
    <n v="242640"/>
    <x v="8"/>
    <x v="4"/>
    <x v="1"/>
    <x v="1"/>
    <n v="10918800"/>
  </r>
  <r>
    <s v="ORD0244"/>
    <x v="48"/>
    <x v="4"/>
    <x v="1"/>
    <n v="1000"/>
    <n v="67"/>
    <n v="67000"/>
    <x v="0"/>
    <x v="4"/>
    <x v="2"/>
    <x v="0"/>
    <n v="4489000"/>
  </r>
  <r>
    <s v="ORD0245"/>
    <x v="26"/>
    <x v="7"/>
    <x v="1"/>
    <n v="500"/>
    <n v="23"/>
    <n v="11500"/>
    <x v="6"/>
    <x v="8"/>
    <x v="2"/>
    <x v="0"/>
    <n v="264500"/>
  </r>
  <r>
    <s v="ORD0246"/>
    <x v="31"/>
    <x v="3"/>
    <x v="2"/>
    <n v="2000"/>
    <n v="89"/>
    <n v="178000"/>
    <x v="7"/>
    <x v="5"/>
    <x v="0"/>
    <x v="1"/>
    <n v="15842000"/>
  </r>
  <r>
    <s v="ORD0247"/>
    <x v="40"/>
    <x v="6"/>
    <x v="2"/>
    <n v="500"/>
    <n v="42"/>
    <n v="21000"/>
    <x v="4"/>
    <x v="3"/>
    <x v="0"/>
    <x v="1"/>
    <n v="882000"/>
  </r>
  <r>
    <s v="ORD0248"/>
    <x v="59"/>
    <x v="3"/>
    <x v="2"/>
    <n v="700"/>
    <n v="51"/>
    <n v="35700"/>
    <x v="8"/>
    <x v="2"/>
    <x v="0"/>
    <x v="0"/>
    <n v="1820700"/>
  </r>
  <r>
    <s v="ORD0249"/>
    <x v="7"/>
    <x v="2"/>
    <x v="1"/>
    <n v="5392"/>
    <n v="3"/>
    <n v="16176"/>
    <x v="1"/>
    <x v="0"/>
    <x v="0"/>
    <x v="1"/>
    <n v="48528"/>
  </r>
  <r>
    <s v="ORD0250"/>
    <x v="3"/>
    <x v="4"/>
    <x v="1"/>
    <n v="8746"/>
    <n v="4"/>
    <n v="34984"/>
    <x v="1"/>
    <x v="7"/>
    <x v="1"/>
    <x v="0"/>
    <n v="1399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D3474-68AA-42DA-9E19-59C652FF5294}"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9:E26" firstHeaderRow="1" firstDataRow="2" firstDataCol="1"/>
  <pivotFields count="12">
    <pivotField showAll="0"/>
    <pivotField numFmtId="14" showAll="0"/>
    <pivotField showAll="0">
      <items count="11">
        <item x="5"/>
        <item x="1"/>
        <item x="6"/>
        <item x="7"/>
        <item x="9"/>
        <item x="0"/>
        <item x="4"/>
        <item x="2"/>
        <item x="3"/>
        <item x="8"/>
        <item t="default"/>
      </items>
    </pivotField>
    <pivotField showAll="0"/>
    <pivotField showAll="0"/>
    <pivotField showAll="0"/>
    <pivotField dataField="1" showAll="0"/>
    <pivotField showAll="0"/>
    <pivotField showAll="0"/>
    <pivotField axis="axisRow" showAll="0">
      <items count="6">
        <item x="1"/>
        <item x="2"/>
        <item x="0"/>
        <item x="4"/>
        <item x="3"/>
        <item t="default"/>
      </items>
    </pivotField>
    <pivotField axis="axisCol" showAll="0">
      <items count="3">
        <item x="0"/>
        <item x="1"/>
        <item t="default"/>
      </items>
    </pivotField>
    <pivotField showAll="0"/>
  </pivotFields>
  <rowFields count="1">
    <field x="9"/>
  </rowFields>
  <rowItems count="6">
    <i>
      <x/>
    </i>
    <i>
      <x v="1"/>
    </i>
    <i>
      <x v="2"/>
    </i>
    <i>
      <x v="3"/>
    </i>
    <i>
      <x v="4"/>
    </i>
    <i t="grand">
      <x/>
    </i>
  </rowItems>
  <colFields count="1">
    <field x="10"/>
  </colFields>
  <colItems count="3">
    <i>
      <x/>
    </i>
    <i>
      <x v="1"/>
    </i>
    <i t="grand">
      <x/>
    </i>
  </colItems>
  <dataFields count="1">
    <dataField name="Sum of Total Sales" fld="6" baseField="0" baseItem="0"/>
  </dataFields>
  <chartFormats count="4">
    <chartFormat chart="0" format="6" series="1">
      <pivotArea type="data" outline="0" fieldPosition="0">
        <references count="2">
          <reference field="4294967294" count="1" selected="0">
            <x v="0"/>
          </reference>
          <reference field="10" count="1" selected="0">
            <x v="0"/>
          </reference>
        </references>
      </pivotArea>
    </chartFormat>
    <chartFormat chart="0" format="7" series="1">
      <pivotArea type="data" outline="0" fieldPosition="0">
        <references count="2">
          <reference field="4294967294" count="1" selected="0">
            <x v="0"/>
          </reference>
          <reference field="10" count="1" selected="0">
            <x v="1"/>
          </reference>
        </references>
      </pivotArea>
    </chartFormat>
    <chartFormat chart="5" format="10" series="1">
      <pivotArea type="data" outline="0" fieldPosition="0">
        <references count="2">
          <reference field="4294967294" count="1" selected="0">
            <x v="0"/>
          </reference>
          <reference field="10" count="1" selected="0">
            <x v="0"/>
          </reference>
        </references>
      </pivotArea>
    </chartFormat>
    <chartFormat chart="5" format="1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46B8C-CA00-4394-97D4-42A665C51EF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5:Q16" firstHeaderRow="0" firstDataRow="1" firstDataCol="1"/>
  <pivotFields count="12">
    <pivotField showAll="0"/>
    <pivotField numFmtId="14" showAll="0"/>
    <pivotField axis="axisRow" showAll="0">
      <items count="11">
        <item x="5"/>
        <item x="1"/>
        <item x="6"/>
        <item x="7"/>
        <item x="9"/>
        <item x="0"/>
        <item x="4"/>
        <item x="2"/>
        <item x="3"/>
        <item x="8"/>
        <item t="default"/>
      </items>
    </pivotField>
    <pivotField showAll="0"/>
    <pivotField dataField="1" showAll="0"/>
    <pivotField dataField="1" showAll="0"/>
    <pivotField showAll="0"/>
    <pivotField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Quantity" fld="5" baseField="0" baseItem="0"/>
    <dataField name="Sum of Price" fld="4" baseField="0" baseItem="0"/>
  </dataFields>
  <chartFormats count="4">
    <chartFormat chart="2" format="41" series="1">
      <pivotArea type="data" outline="0" fieldPosition="0">
        <references count="1">
          <reference field="4294967294" count="1" selected="0">
            <x v="0"/>
          </reference>
        </references>
      </pivotArea>
    </chartFormat>
    <chartFormat chart="0" format="21" series="1">
      <pivotArea type="data" outline="0" fieldPosition="0">
        <references count="1">
          <reference field="4294967294" count="1" selected="0">
            <x v="0"/>
          </reference>
        </references>
      </pivotArea>
    </chartFormat>
    <chartFormat chart="2" format="43" series="1">
      <pivotArea type="data" outline="0" fieldPosition="0">
        <references count="1">
          <reference field="4294967294" count="1" selected="0">
            <x v="1"/>
          </reference>
        </references>
      </pivotArea>
    </chartFormat>
    <chartFormat chart="0"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7963B-44D5-4ECA-8AE2-F20F8D70CF5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6:L17" firstHeaderRow="1" firstDataRow="1" firstDataCol="1"/>
  <pivotFields count="12">
    <pivotField showAll="0"/>
    <pivotField numFmtId="14" showAll="0"/>
    <pivotField axis="axisRow" showAll="0">
      <items count="11">
        <item x="5"/>
        <item x="1"/>
        <item x="6"/>
        <item x="7"/>
        <item x="9"/>
        <item x="0"/>
        <item x="4"/>
        <item x="2"/>
        <item x="3"/>
        <item x="8"/>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Items count="1">
    <i/>
  </colItems>
  <dataFields count="1">
    <dataField name="Sum of profit" fld="11"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9"/>
          </reference>
        </references>
      </pivotArea>
    </chartFormat>
    <chartFormat chart="0" format="3">
      <pivotArea type="data" outline="0" fieldPosition="0">
        <references count="2">
          <reference field="4294967294" count="1" selected="0">
            <x v="0"/>
          </reference>
          <reference field="2" count="1" selected="0">
            <x v="8"/>
          </reference>
        </references>
      </pivotArea>
    </chartFormat>
    <chartFormat chart="0" format="4">
      <pivotArea type="data" outline="0" fieldPosition="0">
        <references count="2">
          <reference field="4294967294" count="1" selected="0">
            <x v="0"/>
          </reference>
          <reference field="2" count="1" selected="0">
            <x v="7"/>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5"/>
          </reference>
        </references>
      </pivotArea>
    </chartFormat>
    <chartFormat chart="0" format="9">
      <pivotArea type="data" outline="0" fieldPosition="0">
        <references count="2">
          <reference field="4294967294" count="1" selected="0">
            <x v="0"/>
          </reference>
          <reference field="2" count="1" selected="0">
            <x v="4"/>
          </reference>
        </references>
      </pivotArea>
    </chartFormat>
    <chartFormat chart="0" format="10">
      <pivotArea type="data" outline="0" fieldPosition="0">
        <references count="2">
          <reference field="4294967294" count="1" selected="0">
            <x v="0"/>
          </reference>
          <reference field="2" count="1" selected="0">
            <x v="3"/>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7" format="15">
      <pivotArea type="data" outline="0" fieldPosition="0">
        <references count="2">
          <reference field="4294967294" count="1" selected="0">
            <x v="0"/>
          </reference>
          <reference field="2" count="1" selected="0">
            <x v="3"/>
          </reference>
        </references>
      </pivotArea>
    </chartFormat>
    <chartFormat chart="7" format="16">
      <pivotArea type="data" outline="0" fieldPosition="0">
        <references count="2">
          <reference field="4294967294" count="1" selected="0">
            <x v="0"/>
          </reference>
          <reference field="2" count="1" selected="0">
            <x v="4"/>
          </reference>
        </references>
      </pivotArea>
    </chartFormat>
    <chartFormat chart="7" format="17">
      <pivotArea type="data" outline="0" fieldPosition="0">
        <references count="2">
          <reference field="4294967294" count="1" selected="0">
            <x v="0"/>
          </reference>
          <reference field="2" count="1" selected="0">
            <x v="5"/>
          </reference>
        </references>
      </pivotArea>
    </chartFormat>
    <chartFormat chart="7" format="18">
      <pivotArea type="data" outline="0" fieldPosition="0">
        <references count="2">
          <reference field="4294967294" count="1" selected="0">
            <x v="0"/>
          </reference>
          <reference field="2" count="1" selected="0">
            <x v="6"/>
          </reference>
        </references>
      </pivotArea>
    </chartFormat>
    <chartFormat chart="7" format="19">
      <pivotArea type="data" outline="0" fieldPosition="0">
        <references count="2">
          <reference field="4294967294" count="1" selected="0">
            <x v="0"/>
          </reference>
          <reference field="2" count="1" selected="0">
            <x v="7"/>
          </reference>
        </references>
      </pivotArea>
    </chartFormat>
    <chartFormat chart="7" format="20">
      <pivotArea type="data" outline="0" fieldPosition="0">
        <references count="2">
          <reference field="4294967294" count="1" selected="0">
            <x v="0"/>
          </reference>
          <reference field="2" count="1" selected="0">
            <x v="8"/>
          </reference>
        </references>
      </pivotArea>
    </chartFormat>
    <chartFormat chart="7" format="21">
      <pivotArea type="data" outline="0" fieldPosition="0">
        <references count="2">
          <reference field="4294967294" count="1" selected="0">
            <x v="0"/>
          </reference>
          <reference field="2" count="1" selected="0">
            <x v="9"/>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2" count="1" selected="0">
            <x v="0"/>
          </reference>
        </references>
      </pivotArea>
    </chartFormat>
    <chartFormat chart="8" format="24">
      <pivotArea type="data" outline="0" fieldPosition="0">
        <references count="2">
          <reference field="4294967294" count="1" selected="0">
            <x v="0"/>
          </reference>
          <reference field="2" count="1" selected="0">
            <x v="1"/>
          </reference>
        </references>
      </pivotArea>
    </chartFormat>
    <chartFormat chart="8" format="25">
      <pivotArea type="data" outline="0" fieldPosition="0">
        <references count="2">
          <reference field="4294967294" count="1" selected="0">
            <x v="0"/>
          </reference>
          <reference field="2" count="1" selected="0">
            <x v="2"/>
          </reference>
        </references>
      </pivotArea>
    </chartFormat>
    <chartFormat chart="8" format="26">
      <pivotArea type="data" outline="0" fieldPosition="0">
        <references count="2">
          <reference field="4294967294" count="1" selected="0">
            <x v="0"/>
          </reference>
          <reference field="2" count="1" selected="0">
            <x v="3"/>
          </reference>
        </references>
      </pivotArea>
    </chartFormat>
    <chartFormat chart="8" format="27">
      <pivotArea type="data" outline="0" fieldPosition="0">
        <references count="2">
          <reference field="4294967294" count="1" selected="0">
            <x v="0"/>
          </reference>
          <reference field="2" count="1" selected="0">
            <x v="4"/>
          </reference>
        </references>
      </pivotArea>
    </chartFormat>
    <chartFormat chart="8" format="28">
      <pivotArea type="data" outline="0" fieldPosition="0">
        <references count="2">
          <reference field="4294967294" count="1" selected="0">
            <x v="0"/>
          </reference>
          <reference field="2" count="1" selected="0">
            <x v="5"/>
          </reference>
        </references>
      </pivotArea>
    </chartFormat>
    <chartFormat chart="8" format="29">
      <pivotArea type="data" outline="0" fieldPosition="0">
        <references count="2">
          <reference field="4294967294" count="1" selected="0">
            <x v="0"/>
          </reference>
          <reference field="2" count="1" selected="0">
            <x v="6"/>
          </reference>
        </references>
      </pivotArea>
    </chartFormat>
    <chartFormat chart="8" format="30">
      <pivotArea type="data" outline="0" fieldPosition="0">
        <references count="2">
          <reference field="4294967294" count="1" selected="0">
            <x v="0"/>
          </reference>
          <reference field="2" count="1" selected="0">
            <x v="7"/>
          </reference>
        </references>
      </pivotArea>
    </chartFormat>
    <chartFormat chart="8" format="31">
      <pivotArea type="data" outline="0" fieldPosition="0">
        <references count="2">
          <reference field="4294967294" count="1" selected="0">
            <x v="0"/>
          </reference>
          <reference field="2" count="1" selected="0">
            <x v="8"/>
          </reference>
        </references>
      </pivotArea>
    </chartFormat>
    <chartFormat chart="8" format="3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25082-C301-491B-8989-DDDC47B816E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5" firstHeaderRow="1" firstDataRow="2" firstDataCol="1"/>
  <pivotFields count="12">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items count="11">
        <item x="5"/>
        <item x="1"/>
        <item x="6"/>
        <item x="7"/>
        <item x="9"/>
        <item x="0"/>
        <item x="4"/>
        <item x="2"/>
        <item x="3"/>
        <item x="8"/>
        <item t="default"/>
      </items>
    </pivotField>
    <pivotField axis="axisCol" showAll="0">
      <items count="6">
        <item x="3"/>
        <item x="2"/>
        <item x="1"/>
        <item x="0"/>
        <item x="4"/>
        <item t="default"/>
      </items>
    </pivotField>
    <pivotField dataField="1" showAll="0"/>
    <pivotField showAll="0"/>
    <pivotField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3">
        <item x="0"/>
        <item x="1"/>
        <item t="default"/>
      </items>
    </pivotField>
    <pivotField showAll="0"/>
  </pivotFields>
  <rowFields count="1">
    <field x="2"/>
  </rowFields>
  <rowItems count="11">
    <i>
      <x/>
    </i>
    <i>
      <x v="1"/>
    </i>
    <i>
      <x v="2"/>
    </i>
    <i>
      <x v="3"/>
    </i>
    <i>
      <x v="4"/>
    </i>
    <i>
      <x v="5"/>
    </i>
    <i>
      <x v="6"/>
    </i>
    <i>
      <x v="7"/>
    </i>
    <i>
      <x v="8"/>
    </i>
    <i>
      <x v="9"/>
    </i>
    <i t="grand">
      <x/>
    </i>
  </rowItems>
  <colFields count="1">
    <field x="3"/>
  </colFields>
  <colItems count="6">
    <i>
      <x/>
    </i>
    <i>
      <x v="1"/>
    </i>
    <i>
      <x v="2"/>
    </i>
    <i>
      <x v="3"/>
    </i>
    <i>
      <x v="4"/>
    </i>
    <i t="grand">
      <x/>
    </i>
  </colItems>
  <dataFields count="1">
    <dataField name="Sum of Price"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D702D23E-3CB0-451B-BE17-2B7B2FECCE48}" sourceName="Customer Location">
  <pivotTables>
    <pivotTable tabId="7" name="PivotTable1"/>
  </pivotTables>
  <data>
    <tabular pivotCacheId="1437953346">
      <items count="10">
        <i x="6" s="1"/>
        <i x="9" s="1"/>
        <i x="3" s="1"/>
        <i x="2" s="1"/>
        <i x="4" s="1"/>
        <i x="8" s="1"/>
        <i x="5" s="1"/>
        <i x="0"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E2D8FA8B-9148-42FB-A819-19E224761321}" sourceName="Payment Method">
  <pivotTables>
    <pivotTable tabId="7" name="PivotTable1"/>
  </pivotTables>
  <data>
    <tabular pivotCacheId="1437953346">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E89C79BF-38D8-4AFC-804F-EDF901ADC1B4}" sourceName="Status">
  <pivotTables>
    <pivotTable tabId="7" name="PivotTable1"/>
  </pivotTables>
  <data>
    <tabular pivotCacheId="14379533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6805AB3-C65F-43B5-B3AF-397AE4181809}" sourceName="Date">
  <pivotTables>
    <pivotTable tabId="7" name="PivotTable1"/>
  </pivotTables>
  <data>
    <tabular pivotCacheId="1437953346">
      <items count="60">
        <i x="58" s="1"/>
        <i x="24" s="1"/>
        <i x="26" s="1"/>
        <i x="19" s="1"/>
        <i x="48" s="1"/>
        <i x="23" s="1"/>
        <i x="32" s="1"/>
        <i x="28" s="1"/>
        <i x="16" s="1"/>
        <i x="35" s="1"/>
        <i x="25" s="1"/>
        <i x="41" s="1"/>
        <i x="22" s="1"/>
        <i x="2" s="1"/>
        <i x="29" s="1"/>
        <i x="9" s="1"/>
        <i x="36" s="1"/>
        <i x="3" s="1"/>
        <i x="13" s="1"/>
        <i x="57" s="1"/>
        <i x="49" s="1"/>
        <i x="20" s="1"/>
        <i x="37" s="1"/>
        <i x="44" s="1"/>
        <i x="14" s="1"/>
        <i x="51" s="1"/>
        <i x="47" s="1"/>
        <i x="11" s="1"/>
        <i x="6" s="1"/>
        <i x="56" s="1"/>
        <i x="12" s="1"/>
        <i x="59" s="1"/>
        <i x="34" s="1"/>
        <i x="18" s="1"/>
        <i x="7" s="1"/>
        <i x="46" s="1"/>
        <i x="4" s="1"/>
        <i x="39" s="1"/>
        <i x="8" s="1"/>
        <i x="10" s="1"/>
        <i x="0" s="1"/>
        <i x="33" s="1"/>
        <i x="42" s="1"/>
        <i x="31" s="1"/>
        <i x="5" s="1"/>
        <i x="38" s="1"/>
        <i x="1" s="1"/>
        <i x="50" s="1"/>
        <i x="17" s="1"/>
        <i x="53" s="1"/>
        <i x="21" s="1"/>
        <i x="45" s="1"/>
        <i x="30" s="1"/>
        <i x="55" s="1"/>
        <i x="52" s="1"/>
        <i x="54" s="1"/>
        <i x="40" s="1"/>
        <i x="43" s="1"/>
        <i x="15"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Location" xr10:uid="{3BCD5B92-AA05-4088-8C26-39D5970F7B1A}" cache="Slicer_Customer_Location" caption="Customer Location" rowHeight="241300"/>
  <slicer name="Payment Method 2" xr10:uid="{DB64A616-014E-4559-819F-99A757E937B7}" cache="Slicer_Payment_Method1" caption="Payment Method" rowHeight="241300"/>
  <slicer name="Status 2" xr10:uid="{7DEB7007-4301-46B3-A767-BA411DF8C846}" cache="Slicer_Status1" caption="Status" rowHeight="241300"/>
  <slicer name="Date" xr10:uid="{E5F12325-5897-4293-ABD5-5954377030CA}"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Location 1" xr10:uid="{D783EAA6-5909-4D70-BE70-7C8ECD85296F}" cache="Slicer_Customer_Location" caption="Customer Location" style="SlicerStyleLight3" rowHeight="241300"/>
  <slicer name="Payment Method 3" xr10:uid="{54D664A5-8A48-4260-8EF0-38B3A311D84D}" cache="Slicer_Payment_Method1" caption="Payment Method" style="SlicerStyleLight6" rowHeight="241300"/>
  <slicer name="Status 3" xr10:uid="{400BB33D-F0E6-4A4A-AE48-4D6645A9D7CE}" cache="Slicer_Status1" caption="Status" style="SlicerStyleLight6" rowHeight="241300"/>
  <slicer name="Date 1" xr10:uid="{717CBD85-A0E0-4A4A-9879-038C640F2AD4}" cache="Slicer_Date" caption="Dat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C4F3C9-9044-4F7B-B731-86C246736FD5}" name="Table1" displayName="Table1" ref="A1:L251" totalsRowShown="0" headerRowDxfId="0">
  <autoFilter ref="A1:L251" xr:uid="{39C4F3C9-9044-4F7B-B731-86C246736FD5}"/>
  <tableColumns count="12">
    <tableColumn id="1" xr3:uid="{20E09419-B954-40AD-A432-1A85C970E5EE}" name="Order ID"/>
    <tableColumn id="2" xr3:uid="{5A1F3670-7F22-41E1-870A-492AB931EC21}" name="Date" dataDxfId="3"/>
    <tableColumn id="3" xr3:uid="{6BC2A3C7-4BCC-442D-AEB8-35BF4C8EE4AF}" name="Product"/>
    <tableColumn id="4" xr3:uid="{91C92F94-D2A5-41B7-8808-6AA1C585AD66}" name="Category"/>
    <tableColumn id="12" xr3:uid="{C6F0350E-5A70-4A9D-AD18-3BFD588F3242}" name="Price"/>
    <tableColumn id="6" xr3:uid="{A1ABE776-714E-4089-BFD1-28F333339C0A}" name="Quantity"/>
    <tableColumn id="7" xr3:uid="{B7AE3564-E8DA-4888-8E4F-DB0831E9E6DC}" name="Total Sales">
      <calculatedColumnFormula>Table1[[#This Row],[Price]]*Table1[[#This Row],[Quantity]]</calculatedColumnFormula>
    </tableColumn>
    <tableColumn id="8" xr3:uid="{98E1322B-1301-4FD4-AFA8-A6E7B281CBC6}" name="Customer Name"/>
    <tableColumn id="9" xr3:uid="{6F1CF000-B39A-495A-8DB7-CD00B1F100A2}" name="Customer Location"/>
    <tableColumn id="10" xr3:uid="{61B6C83D-C108-4B7F-BD08-549BA04E8F86}" name="Payment Method"/>
    <tableColumn id="11" xr3:uid="{4E971E86-11CE-4208-93D3-1D20131C5A1E}" name="Status"/>
    <tableColumn id="13" xr3:uid="{DD120F6B-4F7F-4102-BC0E-21B460CBAA54}" name="profit" dataDxfId="2">
      <calculatedColumnFormula>Table1[[#This Row],[Total Sales]]*Table1[[#This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EECC-BADE-4CCD-B579-2690F9795E41}">
  <sheetPr>
    <tabColor theme="7" tint="0.39997558519241921"/>
  </sheetPr>
  <dimension ref="A1:D13"/>
  <sheetViews>
    <sheetView workbookViewId="0">
      <selection activeCell="D9" sqref="D9"/>
    </sheetView>
  </sheetViews>
  <sheetFormatPr defaultRowHeight="15" x14ac:dyDescent="0.25"/>
  <cols>
    <col min="3" max="4" width="14.5703125" bestFit="1" customWidth="1"/>
  </cols>
  <sheetData>
    <row r="1" spans="1:4" x14ac:dyDescent="0.25">
      <c r="A1" s="4" t="s">
        <v>317</v>
      </c>
      <c r="B1" s="4" t="s">
        <v>318</v>
      </c>
      <c r="C1" s="4" t="s">
        <v>319</v>
      </c>
      <c r="D1" s="4" t="s">
        <v>320</v>
      </c>
    </row>
    <row r="2" spans="1:4" x14ac:dyDescent="0.25">
      <c r="A2" s="6" t="s">
        <v>17</v>
      </c>
      <c r="B2">
        <f>VLOOKUP(A2,Amazon_sales!$A$1:$G$250,7,0)</f>
        <v>270000</v>
      </c>
      <c r="C2" t="str">
        <f>VLOOKUP(A2,Table1[[#All],[Order ID]:[Payment Method]],10,0)</f>
        <v>Debit Card</v>
      </c>
      <c r="D2">
        <f>VLOOKUP(A2,Amazon_sales!$A$1:$G$250,5,0)</f>
        <v>5000</v>
      </c>
    </row>
    <row r="3" spans="1:4" x14ac:dyDescent="0.25">
      <c r="A3" s="5" t="s">
        <v>23</v>
      </c>
      <c r="B3">
        <f>VLOOKUP(A3,Amazon_sales!$A$1:$G$250,7,0)</f>
        <v>112000</v>
      </c>
      <c r="C3" t="str">
        <f>VLOOKUP(A3,Table1[[#All],[Order ID]:[Payment Method]],10,0)</f>
        <v>Amazon Pay</v>
      </c>
      <c r="D3">
        <f>VLOOKUP(A3,Amazon_sales!$A$1:$G$250,5,0)</f>
        <v>2000</v>
      </c>
    </row>
    <row r="4" spans="1:4" x14ac:dyDescent="0.25">
      <c r="A4" s="6" t="s">
        <v>27</v>
      </c>
      <c r="B4">
        <f>VLOOKUP(A4,Amazon_sales!$A$1:$G$250,7,0)</f>
        <v>144000</v>
      </c>
      <c r="C4" t="str">
        <f>VLOOKUP(A4,Table1[[#All],[Order ID]:[Payment Method]],10,0)</f>
        <v>Credit Card</v>
      </c>
      <c r="D4">
        <f>VLOOKUP(A4,Amazon_sales!$A$1:$G$250,5,0)</f>
        <v>2000</v>
      </c>
    </row>
    <row r="5" spans="1:4" x14ac:dyDescent="0.25">
      <c r="A5" s="5" t="s">
        <v>31</v>
      </c>
      <c r="B5">
        <f>VLOOKUP(A5,Amazon_sales!$A$1:$G$250,7,0)</f>
        <v>12000</v>
      </c>
      <c r="C5" t="str">
        <f>VLOOKUP(A5,Table1[[#All],[Order ID]:[Payment Method]],10,0)</f>
        <v>Debit Card</v>
      </c>
      <c r="D5">
        <f>VLOOKUP(A5,Amazon_sales!$A$1:$G$250,5,0)</f>
        <v>1000</v>
      </c>
    </row>
    <row r="6" spans="1:4" x14ac:dyDescent="0.25">
      <c r="A6" s="6" t="s">
        <v>33</v>
      </c>
      <c r="B6">
        <f>VLOOKUP(A6,Amazon_sales!$A$1:$G$250,7,0)</f>
        <v>22500</v>
      </c>
      <c r="C6" t="str">
        <f>VLOOKUP(A6,Table1[[#All],[Order ID]:[Payment Method]],10,0)</f>
        <v>Credit Card</v>
      </c>
      <c r="D6">
        <f>VLOOKUP(A6,Amazon_sales!$A$1:$G$250,5,0)</f>
        <v>500</v>
      </c>
    </row>
    <row r="7" spans="1:4" x14ac:dyDescent="0.25">
      <c r="A7" s="5" t="s">
        <v>36</v>
      </c>
      <c r="B7">
        <f>VLOOKUP(A7,Amazon_sales!$A$1:$G$250,7,0)</f>
        <v>134000</v>
      </c>
      <c r="C7" t="str">
        <f>VLOOKUP(A7,Table1[[#All],[Order ID]:[Payment Method]],10,0)</f>
        <v>PayPal</v>
      </c>
      <c r="D7">
        <f>VLOOKUP(A7,Amazon_sales!$A$1:$G$250,5,0)</f>
        <v>2000</v>
      </c>
    </row>
    <row r="8" spans="1:4" x14ac:dyDescent="0.25">
      <c r="A8" s="6" t="s">
        <v>40</v>
      </c>
      <c r="B8">
        <f>VLOOKUP(A8,Amazon_sales!$A$1:$G$250,7,0)</f>
        <v>69000</v>
      </c>
      <c r="C8" t="str">
        <f>VLOOKUP(A8,Table1[[#All],[Order ID]:[Payment Method]],10,0)</f>
        <v>PayPal</v>
      </c>
      <c r="D8">
        <f>VLOOKUP(A8,Amazon_sales!$A$1:$G$250,5,0)</f>
        <v>3000</v>
      </c>
    </row>
    <row r="9" spans="1:4" x14ac:dyDescent="0.25">
      <c r="A9" s="5" t="s">
        <v>44</v>
      </c>
      <c r="B9">
        <f>VLOOKUP(A9,Amazon_sales!$A$1:$G$250,7,0)</f>
        <v>445000</v>
      </c>
      <c r="C9" t="str">
        <f>VLOOKUP(A9,Table1[[#All],[Order ID]:[Payment Method]],10,0)</f>
        <v>PayPal</v>
      </c>
      <c r="D9">
        <f>VLOOKUP(A9,Amazon_sales!$A$1:$G$250,5,0)</f>
        <v>5000</v>
      </c>
    </row>
    <row r="10" spans="1:4" x14ac:dyDescent="0.25">
      <c r="A10" s="6" t="s">
        <v>46</v>
      </c>
      <c r="B10">
        <f>VLOOKUP(A10,Amazon_sales!$A$1:$G$250,7,0)</f>
        <v>84000</v>
      </c>
      <c r="C10" t="str">
        <f>VLOOKUP(A10,Table1[[#All],[Order ID]:[Payment Method]],10,0)</f>
        <v>Credit Card</v>
      </c>
      <c r="D10">
        <f>VLOOKUP(A10,Amazon_sales!$A$1:$G$250,5,0)</f>
        <v>2000</v>
      </c>
    </row>
    <row r="11" spans="1:4" x14ac:dyDescent="0.25">
      <c r="A11" s="5" t="s">
        <v>47</v>
      </c>
      <c r="B11">
        <f>VLOOKUP(A11,Amazon_sales!$A$1:$G$250,7,0)</f>
        <v>102000</v>
      </c>
      <c r="C11" t="str">
        <f>VLOOKUP(A11,Table1[[#All],[Order ID]:[Payment Method]],10,0)</f>
        <v>Amazon Pay</v>
      </c>
      <c r="D11">
        <f>VLOOKUP(A11,Amazon_sales!$A$1:$G$250,5,0)</f>
        <v>2000</v>
      </c>
    </row>
    <row r="12" spans="1:4" x14ac:dyDescent="0.25">
      <c r="A12" s="6" t="s">
        <v>51</v>
      </c>
      <c r="B12">
        <f>VLOOKUP(A12,Amazon_sales!$A$1:$G$250,7,0)</f>
        <v>45000</v>
      </c>
      <c r="C12" t="str">
        <f>VLOOKUP(A12,Table1[[#All],[Order ID]:[Payment Method]],10,0)</f>
        <v>Credit Card</v>
      </c>
      <c r="D12">
        <f>VLOOKUP(A12,Amazon_sales!$A$1:$G$250,5,0)</f>
        <v>1000</v>
      </c>
    </row>
    <row r="13" spans="1:4" x14ac:dyDescent="0.25">
      <c r="A13" s="5" t="s">
        <v>54</v>
      </c>
      <c r="B13">
        <f>VLOOKUP(A13,Amazon_sales!$A$1:$G$250,7,0)</f>
        <v>31500</v>
      </c>
      <c r="C13" t="str">
        <f>VLOOKUP(A13,Table1[[#All],[Order ID]:[Payment Method]],10,0)</f>
        <v>Gift Card</v>
      </c>
      <c r="D13">
        <f>VLOOKUP(A13,Amazon_sales!$A$1:$G$250,5,0)</f>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AF88-B8D6-4471-B72A-CBD1563BB9F7}">
  <sheetPr>
    <tabColor rgb="FF00B0F0"/>
  </sheetPr>
  <dimension ref="A1:B13"/>
  <sheetViews>
    <sheetView workbookViewId="0">
      <selection activeCell="I26" sqref="I26"/>
    </sheetView>
  </sheetViews>
  <sheetFormatPr defaultRowHeight="15" x14ac:dyDescent="0.25"/>
  <cols>
    <col min="2" max="2" width="10.42578125" bestFit="1" customWidth="1"/>
  </cols>
  <sheetData>
    <row r="1" spans="1:2" x14ac:dyDescent="0.25">
      <c r="A1" s="4" t="s">
        <v>317</v>
      </c>
      <c r="B1" s="4" t="s">
        <v>321</v>
      </c>
    </row>
    <row r="2" spans="1:2" x14ac:dyDescent="0.25">
      <c r="A2" s="6" t="s">
        <v>17</v>
      </c>
      <c r="B2" s="1">
        <f>_xlfn.XLOOKUP(A2,Amazon_sales!$A:$A,Amazon_sales!$B:$B,"Not found",0)</f>
        <v>45736</v>
      </c>
    </row>
    <row r="3" spans="1:2" x14ac:dyDescent="0.25">
      <c r="A3" s="5" t="s">
        <v>23</v>
      </c>
      <c r="B3" s="1">
        <f>_xlfn.XLOOKUP(A3,Amazon_sales!$A:$A,Amazon_sales!$B:$B,"Not found",0)</f>
        <v>45703</v>
      </c>
    </row>
    <row r="4" spans="1:2" x14ac:dyDescent="0.25">
      <c r="A4" s="6" t="s">
        <v>27</v>
      </c>
      <c r="B4" s="1">
        <f>_xlfn.XLOOKUP(A4,Amazon_sales!$A:$A,Amazon_sales!$B:$B,"Not found",0)</f>
        <v>45707</v>
      </c>
    </row>
    <row r="5" spans="1:2" x14ac:dyDescent="0.25">
      <c r="A5" s="5" t="s">
        <v>31</v>
      </c>
      <c r="B5" s="1">
        <f>_xlfn.XLOOKUP(A5,Amazon_sales!$A:$A,Amazon_sales!$B:$B,"Not found",0)</f>
        <v>45726</v>
      </c>
    </row>
    <row r="6" spans="1:2" x14ac:dyDescent="0.25">
      <c r="A6" s="6" t="s">
        <v>33</v>
      </c>
      <c r="B6" s="1">
        <f ca="1">_xlfn.XLOOKUP(A6,Amazon_sales!$A:$A,Amazon_sales!$B:$B,"Not found",0)</f>
        <v>45736</v>
      </c>
    </row>
    <row r="7" spans="1:2" x14ac:dyDescent="0.25">
      <c r="A7" s="5" t="s">
        <v>36</v>
      </c>
      <c r="B7" s="1">
        <f>_xlfn.XLOOKUP(A7,Amazon_sales!$A:$A,Amazon_sales!$B:$B,"Not found",0)</f>
        <v>45734</v>
      </c>
    </row>
    <row r="8" spans="1:2" x14ac:dyDescent="0.25">
      <c r="A8" s="6" t="s">
        <v>40</v>
      </c>
      <c r="B8" s="1">
        <f>_xlfn.XLOOKUP(A8,Amazon_sales!$A:$A,Amazon_sales!$B:$B,"Not found",0)</f>
        <v>45718</v>
      </c>
    </row>
    <row r="9" spans="1:2" x14ac:dyDescent="0.25">
      <c r="A9" s="5" t="s">
        <v>44</v>
      </c>
      <c r="B9" s="1">
        <f>_xlfn.XLOOKUP(A9,Amazon_sales!$A:$A,Amazon_sales!$B:$B,"Not found",0)</f>
        <v>45724</v>
      </c>
    </row>
    <row r="10" spans="1:2" x14ac:dyDescent="0.25">
      <c r="A10" s="6" t="s">
        <v>46</v>
      </c>
      <c r="B10" s="1">
        <f>_xlfn.XLOOKUP(A10,Amazon_sales!$A:$A,Amazon_sales!$B:$B,"Not found",0)</f>
        <v>45728</v>
      </c>
    </row>
    <row r="11" spans="1:2" x14ac:dyDescent="0.25">
      <c r="A11" s="5" t="s">
        <v>47</v>
      </c>
      <c r="B11" s="1">
        <f>_xlfn.XLOOKUP(A11,Amazon_sales!$A:$A,Amazon_sales!$B:$B,"Not found",0)</f>
        <v>45705</v>
      </c>
    </row>
    <row r="12" spans="1:2" x14ac:dyDescent="0.25">
      <c r="A12" s="6" t="s">
        <v>51</v>
      </c>
      <c r="B12" s="1">
        <f>_xlfn.XLOOKUP(A12,Amazon_sales!$A:$A,Amazon_sales!$B:$B,"Not found",0)</f>
        <v>45729</v>
      </c>
    </row>
    <row r="13" spans="1:2" x14ac:dyDescent="0.25">
      <c r="A13" s="5" t="s">
        <v>54</v>
      </c>
      <c r="B13" s="1">
        <f>_xlfn.XLOOKUP(A13,Amazon_sales!$A:$A,Amazon_sales!$B:$B,"Not found",0)</f>
        <v>45717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18C1-FB60-4543-A05D-05D20BE19F6D}">
  <dimension ref="A3:Q26"/>
  <sheetViews>
    <sheetView topLeftCell="G3" zoomScale="97" workbookViewId="0">
      <selection activeCell="P10" sqref="P10"/>
    </sheetView>
  </sheetViews>
  <sheetFormatPr defaultRowHeight="15" x14ac:dyDescent="0.25"/>
  <cols>
    <col min="1" max="1" width="16.7109375" bestFit="1" customWidth="1"/>
    <col min="2" max="2" width="16.42578125" bestFit="1" customWidth="1"/>
    <col min="3" max="5" width="15.28515625" bestFit="1" customWidth="1"/>
    <col min="6" max="6" width="16.7109375" bestFit="1" customWidth="1"/>
    <col min="7" max="7" width="12" bestFit="1" customWidth="1"/>
    <col min="11" max="11" width="16.7109375" bestFit="1" customWidth="1"/>
    <col min="12" max="12" width="18.7109375" bestFit="1" customWidth="1"/>
    <col min="13" max="13" width="15.42578125" bestFit="1" customWidth="1"/>
    <col min="15" max="15" width="16.7109375" bestFit="1" customWidth="1"/>
    <col min="16" max="16" width="15.42578125" bestFit="1" customWidth="1"/>
    <col min="17" max="17" width="12" bestFit="1" customWidth="1"/>
    <col min="18" max="18" width="15.42578125" bestFit="1" customWidth="1"/>
    <col min="19" max="19" width="12.5703125" bestFit="1" customWidth="1"/>
    <col min="20" max="20" width="8.42578125" bestFit="1" customWidth="1"/>
    <col min="21" max="21" width="11.42578125" bestFit="1" customWidth="1"/>
    <col min="22" max="22" width="8" bestFit="1" customWidth="1"/>
    <col min="23" max="23" width="9.5703125" bestFit="1" customWidth="1"/>
    <col min="24" max="24" width="12.7109375" bestFit="1" customWidth="1"/>
    <col min="25" max="25" width="8" bestFit="1" customWidth="1"/>
    <col min="26" max="26" width="11.28515625" bestFit="1" customWidth="1"/>
  </cols>
  <sheetData>
    <row r="3" spans="1:17" x14ac:dyDescent="0.25">
      <c r="A3" s="3" t="s">
        <v>307</v>
      </c>
      <c r="B3" s="3" t="s">
        <v>304</v>
      </c>
    </row>
    <row r="4" spans="1:17" x14ac:dyDescent="0.25">
      <c r="A4" s="3" t="s">
        <v>305</v>
      </c>
      <c r="B4" t="s">
        <v>49</v>
      </c>
      <c r="C4" t="s">
        <v>35</v>
      </c>
      <c r="D4" t="s">
        <v>19</v>
      </c>
      <c r="E4" t="s">
        <v>13</v>
      </c>
      <c r="F4" t="s">
        <v>60</v>
      </c>
      <c r="G4" t="s">
        <v>306</v>
      </c>
    </row>
    <row r="5" spans="1:17" x14ac:dyDescent="0.25">
      <c r="A5" s="2" t="s">
        <v>48</v>
      </c>
      <c r="B5" s="7">
        <v>60500</v>
      </c>
      <c r="C5" s="7"/>
      <c r="D5" s="7"/>
      <c r="E5" s="7"/>
      <c r="F5" s="7"/>
      <c r="G5" s="7">
        <v>60500</v>
      </c>
      <c r="O5" s="3" t="s">
        <v>305</v>
      </c>
      <c r="P5" t="s">
        <v>308</v>
      </c>
      <c r="Q5" t="s">
        <v>307</v>
      </c>
    </row>
    <row r="6" spans="1:17" x14ac:dyDescent="0.25">
      <c r="A6" s="2" t="s">
        <v>18</v>
      </c>
      <c r="B6" s="7"/>
      <c r="C6" s="7"/>
      <c r="D6" s="7">
        <v>51500</v>
      </c>
      <c r="E6" s="7"/>
      <c r="F6" s="7"/>
      <c r="G6" s="7">
        <v>51500</v>
      </c>
      <c r="K6" s="3" t="s">
        <v>305</v>
      </c>
      <c r="L6" t="s">
        <v>322</v>
      </c>
      <c r="O6" s="2" t="s">
        <v>48</v>
      </c>
      <c r="P6" s="7">
        <v>916</v>
      </c>
      <c r="Q6" s="7">
        <v>60500</v>
      </c>
    </row>
    <row r="7" spans="1:17" x14ac:dyDescent="0.25">
      <c r="A7" s="2" t="s">
        <v>52</v>
      </c>
      <c r="B7" s="7"/>
      <c r="C7" s="7">
        <v>44392</v>
      </c>
      <c r="D7" s="7"/>
      <c r="E7" s="7"/>
      <c r="F7" s="7"/>
      <c r="G7" s="7">
        <v>44392</v>
      </c>
      <c r="K7" s="2" t="s">
        <v>48</v>
      </c>
      <c r="L7" s="7">
        <v>133355000</v>
      </c>
      <c r="O7" s="2" t="s">
        <v>18</v>
      </c>
      <c r="P7" s="7">
        <v>1064</v>
      </c>
      <c r="Q7" s="7">
        <v>51500</v>
      </c>
    </row>
    <row r="8" spans="1:17" x14ac:dyDescent="0.25">
      <c r="A8" s="2" t="s">
        <v>55</v>
      </c>
      <c r="B8" s="7"/>
      <c r="C8" s="7"/>
      <c r="D8" s="7">
        <v>51392</v>
      </c>
      <c r="E8" s="7"/>
      <c r="F8" s="7"/>
      <c r="G8" s="7">
        <v>51392</v>
      </c>
      <c r="K8" s="2" t="s">
        <v>18</v>
      </c>
      <c r="L8" s="7">
        <v>134287000</v>
      </c>
      <c r="O8" s="2" t="s">
        <v>52</v>
      </c>
      <c r="P8" s="7">
        <v>909</v>
      </c>
      <c r="Q8" s="7">
        <v>44392</v>
      </c>
    </row>
    <row r="9" spans="1:17" x14ac:dyDescent="0.25">
      <c r="A9" s="2" t="s">
        <v>64</v>
      </c>
      <c r="B9" s="7"/>
      <c r="C9" s="7"/>
      <c r="D9" s="7"/>
      <c r="E9" s="7"/>
      <c r="F9" s="7">
        <v>54700</v>
      </c>
      <c r="G9" s="7">
        <v>54700</v>
      </c>
      <c r="K9" s="2" t="s">
        <v>52</v>
      </c>
      <c r="L9" s="7">
        <v>114111092</v>
      </c>
      <c r="O9" s="2" t="s">
        <v>55</v>
      </c>
      <c r="P9" s="7">
        <v>671</v>
      </c>
      <c r="Q9" s="7">
        <v>51392</v>
      </c>
    </row>
    <row r="10" spans="1:17" x14ac:dyDescent="0.25">
      <c r="A10" s="2" t="s">
        <v>12</v>
      </c>
      <c r="B10" s="7"/>
      <c r="C10" s="7"/>
      <c r="D10" s="7"/>
      <c r="E10" s="7">
        <v>76784</v>
      </c>
      <c r="F10" s="7"/>
      <c r="G10" s="7">
        <v>76784</v>
      </c>
      <c r="K10" s="2" t="s">
        <v>55</v>
      </c>
      <c r="L10" s="7">
        <v>53042888</v>
      </c>
      <c r="O10" s="2" t="s">
        <v>64</v>
      </c>
      <c r="P10" s="7">
        <v>991</v>
      </c>
      <c r="Q10" s="7">
        <v>54700</v>
      </c>
    </row>
    <row r="11" spans="1:17" x14ac:dyDescent="0.25">
      <c r="A11" s="2" t="s">
        <v>41</v>
      </c>
      <c r="B11" s="7"/>
      <c r="C11" s="7"/>
      <c r="D11" s="7">
        <v>80446</v>
      </c>
      <c r="E11" s="7"/>
      <c r="F11" s="7"/>
      <c r="G11" s="7">
        <v>80446</v>
      </c>
      <c r="K11" s="2" t="s">
        <v>64</v>
      </c>
      <c r="L11" s="7">
        <v>120313300</v>
      </c>
      <c r="O11" s="2" t="s">
        <v>12</v>
      </c>
      <c r="P11" s="7">
        <v>1243</v>
      </c>
      <c r="Q11" s="7">
        <v>76784</v>
      </c>
    </row>
    <row r="12" spans="1:17" x14ac:dyDescent="0.25">
      <c r="A12" s="2" t="s">
        <v>32</v>
      </c>
      <c r="B12" s="7"/>
      <c r="C12" s="7"/>
      <c r="D12" s="7">
        <v>72892</v>
      </c>
      <c r="E12" s="7"/>
      <c r="F12" s="7"/>
      <c r="G12" s="7">
        <v>72892</v>
      </c>
      <c r="K12" s="2" t="s">
        <v>12</v>
      </c>
      <c r="L12" s="7">
        <v>186561668</v>
      </c>
      <c r="O12" s="2" t="s">
        <v>41</v>
      </c>
      <c r="P12" s="7">
        <v>1233</v>
      </c>
      <c r="Q12" s="7">
        <v>80446</v>
      </c>
    </row>
    <row r="13" spans="1:17" x14ac:dyDescent="0.25">
      <c r="A13" s="2" t="s">
        <v>34</v>
      </c>
      <c r="B13" s="7"/>
      <c r="C13" s="7">
        <v>36400</v>
      </c>
      <c r="D13" s="7"/>
      <c r="E13" s="7"/>
      <c r="F13" s="7"/>
      <c r="G13" s="7">
        <v>36400</v>
      </c>
      <c r="K13" s="2" t="s">
        <v>41</v>
      </c>
      <c r="L13" s="7">
        <v>127556236</v>
      </c>
      <c r="O13" s="2" t="s">
        <v>32</v>
      </c>
      <c r="P13" s="7">
        <v>1285</v>
      </c>
      <c r="Q13" s="7">
        <v>72892</v>
      </c>
    </row>
    <row r="14" spans="1:17" x14ac:dyDescent="0.25">
      <c r="A14" s="2" t="s">
        <v>59</v>
      </c>
      <c r="B14" s="7"/>
      <c r="C14" s="7"/>
      <c r="D14" s="7"/>
      <c r="E14" s="7"/>
      <c r="F14" s="7">
        <v>27700</v>
      </c>
      <c r="G14" s="7">
        <v>27700</v>
      </c>
      <c r="K14" s="2" t="s">
        <v>32</v>
      </c>
      <c r="L14" s="7">
        <v>153402528</v>
      </c>
      <c r="O14" s="2" t="s">
        <v>34</v>
      </c>
      <c r="P14" s="7">
        <v>920</v>
      </c>
      <c r="Q14" s="7">
        <v>36400</v>
      </c>
    </row>
    <row r="15" spans="1:17" x14ac:dyDescent="0.25">
      <c r="A15" s="2" t="s">
        <v>306</v>
      </c>
      <c r="B15" s="7">
        <v>60500</v>
      </c>
      <c r="C15" s="7">
        <v>80792</v>
      </c>
      <c r="D15" s="7">
        <v>256230</v>
      </c>
      <c r="E15" s="7">
        <v>76784</v>
      </c>
      <c r="F15" s="7">
        <v>82400</v>
      </c>
      <c r="G15" s="7">
        <v>556706</v>
      </c>
      <c r="K15" s="2" t="s">
        <v>34</v>
      </c>
      <c r="L15" s="7">
        <v>107102400</v>
      </c>
      <c r="O15" s="2" t="s">
        <v>59</v>
      </c>
      <c r="P15" s="7">
        <v>639</v>
      </c>
      <c r="Q15" s="7">
        <v>27700</v>
      </c>
    </row>
    <row r="16" spans="1:17" x14ac:dyDescent="0.25">
      <c r="K16" s="2" t="s">
        <v>59</v>
      </c>
      <c r="L16" s="7">
        <v>41582300</v>
      </c>
      <c r="O16" s="2" t="s">
        <v>306</v>
      </c>
      <c r="P16" s="7">
        <v>9871</v>
      </c>
      <c r="Q16" s="7">
        <v>556706</v>
      </c>
    </row>
    <row r="17" spans="2:12" x14ac:dyDescent="0.25">
      <c r="K17" s="2" t="s">
        <v>306</v>
      </c>
      <c r="L17" s="7">
        <v>1171314412</v>
      </c>
    </row>
    <row r="19" spans="2:12" x14ac:dyDescent="0.25">
      <c r="B19" s="3" t="s">
        <v>303</v>
      </c>
      <c r="C19" s="3" t="s">
        <v>304</v>
      </c>
    </row>
    <row r="20" spans="2:12" x14ac:dyDescent="0.25">
      <c r="B20" s="3" t="s">
        <v>305</v>
      </c>
      <c r="C20" t="s">
        <v>39</v>
      </c>
      <c r="D20" t="s">
        <v>22</v>
      </c>
      <c r="E20" t="s">
        <v>306</v>
      </c>
    </row>
    <row r="21" spans="2:12" x14ac:dyDescent="0.25">
      <c r="B21" s="2" t="s">
        <v>26</v>
      </c>
      <c r="C21" s="7">
        <v>1043484</v>
      </c>
      <c r="D21" s="7">
        <v>2579068</v>
      </c>
      <c r="E21" s="7">
        <v>3622552</v>
      </c>
    </row>
    <row r="22" spans="2:12" x14ac:dyDescent="0.25">
      <c r="B22" s="2" t="s">
        <v>30</v>
      </c>
      <c r="C22" s="7">
        <v>1828000</v>
      </c>
      <c r="D22" s="7">
        <v>2477900</v>
      </c>
      <c r="E22" s="7">
        <v>4305900</v>
      </c>
    </row>
    <row r="23" spans="2:12" x14ac:dyDescent="0.25">
      <c r="B23" s="2" t="s">
        <v>16</v>
      </c>
      <c r="C23" s="7">
        <v>1626500</v>
      </c>
      <c r="D23" s="7">
        <v>2192176</v>
      </c>
      <c r="E23" s="7">
        <v>3818676</v>
      </c>
    </row>
    <row r="24" spans="2:12" x14ac:dyDescent="0.25">
      <c r="B24" s="2" t="s">
        <v>57</v>
      </c>
      <c r="C24" s="7">
        <v>1238400</v>
      </c>
      <c r="D24" s="7">
        <v>2256500</v>
      </c>
      <c r="E24" s="7">
        <v>3494900</v>
      </c>
    </row>
    <row r="25" spans="2:12" x14ac:dyDescent="0.25">
      <c r="B25" s="2" t="s">
        <v>38</v>
      </c>
      <c r="C25" s="7">
        <v>4698016</v>
      </c>
      <c r="D25" s="7">
        <v>1664400</v>
      </c>
      <c r="E25" s="7">
        <v>6362416</v>
      </c>
    </row>
    <row r="26" spans="2:12" x14ac:dyDescent="0.25">
      <c r="B26" s="2" t="s">
        <v>306</v>
      </c>
      <c r="C26" s="7">
        <v>10434400</v>
      </c>
      <c r="D26" s="7">
        <v>11170044</v>
      </c>
      <c r="E26" s="7">
        <v>21604444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3541-9912-4998-8D32-6E442B0269DF}">
  <sheetPr>
    <tabColor theme="4" tint="-0.499984740745262"/>
  </sheetPr>
  <dimension ref="A1:V251"/>
  <sheetViews>
    <sheetView workbookViewId="0">
      <selection activeCell="L1" sqref="L1:L1048576"/>
    </sheetView>
  </sheetViews>
  <sheetFormatPr defaultRowHeight="15" x14ac:dyDescent="0.25"/>
  <cols>
    <col min="1" max="1" width="10.5703125" customWidth="1"/>
    <col min="2" max="2" width="10.42578125" bestFit="1" customWidth="1"/>
    <col min="3" max="3" width="16.7109375" bestFit="1" customWidth="1"/>
    <col min="4" max="4" width="16.5703125" bestFit="1" customWidth="1"/>
    <col min="6" max="6" width="10.85546875" customWidth="1"/>
    <col min="7" max="7" width="12.5703125" customWidth="1"/>
    <col min="8" max="8" width="17.42578125" customWidth="1"/>
    <col min="9" max="9" width="19.5703125" customWidth="1"/>
    <col min="10" max="10" width="18.5703125" customWidth="1"/>
    <col min="11" max="11" width="10.85546875" bestFit="1" customWidth="1"/>
    <col min="13" max="13" width="21.28515625" customWidth="1"/>
    <col min="14" max="14" width="19" bestFit="1" customWidth="1"/>
    <col min="15" max="15" width="16.85546875" bestFit="1" customWidth="1"/>
    <col min="16" max="16" width="19.5703125" bestFit="1" customWidth="1"/>
    <col min="17" max="17" width="13.140625" bestFit="1" customWidth="1"/>
    <col min="21" max="21" width="47.7109375" bestFit="1" customWidth="1"/>
  </cols>
  <sheetData>
    <row r="1" spans="1:22" x14ac:dyDescent="0.25">
      <c r="A1" s="11" t="s">
        <v>0</v>
      </c>
      <c r="B1" s="11" t="s">
        <v>1</v>
      </c>
      <c r="C1" s="11" t="s">
        <v>2</v>
      </c>
      <c r="D1" s="11" t="s">
        <v>3</v>
      </c>
      <c r="E1" s="11" t="s">
        <v>4</v>
      </c>
      <c r="F1" s="11" t="s">
        <v>5</v>
      </c>
      <c r="G1" s="11" t="s">
        <v>6</v>
      </c>
      <c r="H1" s="11" t="s">
        <v>7</v>
      </c>
      <c r="I1" s="11" t="s">
        <v>8</v>
      </c>
      <c r="J1" s="11" t="s">
        <v>9</v>
      </c>
      <c r="K1" s="11" t="s">
        <v>10</v>
      </c>
      <c r="L1" s="11" t="s">
        <v>312</v>
      </c>
      <c r="N1" s="8" t="s">
        <v>310</v>
      </c>
      <c r="O1" s="9" t="s">
        <v>311</v>
      </c>
      <c r="P1" s="9" t="s">
        <v>313</v>
      </c>
      <c r="Q1" s="9" t="s">
        <v>314</v>
      </c>
    </row>
    <row r="2" spans="1:22" x14ac:dyDescent="0.25">
      <c r="A2" t="s">
        <v>11</v>
      </c>
      <c r="B2" s="1">
        <v>45730</v>
      </c>
      <c r="C2" t="s">
        <v>12</v>
      </c>
      <c r="D2" t="s">
        <v>13</v>
      </c>
      <c r="E2">
        <v>3000</v>
      </c>
      <c r="F2">
        <v>33</v>
      </c>
      <c r="G2">
        <f>Table1[[#This Row],[Price]]*Table1[[#This Row],[Quantity]]</f>
        <v>99000</v>
      </c>
      <c r="H2" t="s">
        <v>14</v>
      </c>
      <c r="I2" t="s">
        <v>15</v>
      </c>
      <c r="J2" t="s">
        <v>16</v>
      </c>
      <c r="K2" t="s">
        <v>39</v>
      </c>
      <c r="L2">
        <f>Table1[[#This Row],[Total Sales]]*Table1[[#This Row],[Quantity]]</f>
        <v>3267000</v>
      </c>
      <c r="N2" t="str">
        <f>IF(AND(Table1[[#This Row],[Price]]&gt;50,Table1[[#This Row],[Category]]="Footwear"),"High","Low")</f>
        <v>High</v>
      </c>
      <c r="O2" t="str">
        <f>TEXT(Table1[[#This Row],[Date]],"MMM-YY")</f>
        <v>Mar-25</v>
      </c>
      <c r="P2" s="10" t="str">
        <f>IF(Table1[[#This Row],[profit]]&gt;5000000,"High",IF(Table1[[#This Row],[profit]]&gt;3000000,"Medium","Low"))</f>
        <v>Medium</v>
      </c>
      <c r="Q2" t="str">
        <f>IF(Table1[[#This Row],[Status]]="Completed","Paid","Not Paid")</f>
        <v>Paid</v>
      </c>
      <c r="U2" s="12" t="s">
        <v>315</v>
      </c>
      <c r="V2" s="13">
        <f>SUMIF($D:$D,"Footwear",$G:$G)</f>
        <v>3420156</v>
      </c>
    </row>
    <row r="3" spans="1:22" x14ac:dyDescent="0.25">
      <c r="A3" t="s">
        <v>17</v>
      </c>
      <c r="B3" s="1">
        <v>45736</v>
      </c>
      <c r="C3" t="s">
        <v>18</v>
      </c>
      <c r="D3" t="s">
        <v>19</v>
      </c>
      <c r="E3">
        <v>5000</v>
      </c>
      <c r="F3">
        <v>54</v>
      </c>
      <c r="G3">
        <f>Table1[[#This Row],[Price]]*Table1[[#This Row],[Quantity]]</f>
        <v>270000</v>
      </c>
      <c r="H3" t="s">
        <v>20</v>
      </c>
      <c r="I3" t="s">
        <v>21</v>
      </c>
      <c r="J3" t="s">
        <v>16</v>
      </c>
      <c r="K3" t="s">
        <v>22</v>
      </c>
      <c r="L3">
        <f>Table1[[#This Row],[Total Sales]]*Table1[[#This Row],[Quantity]]</f>
        <v>14580000</v>
      </c>
      <c r="N3" t="str">
        <f>IF(AND(Table1[[#This Row],[Price]]&gt;50,Table1[[#This Row],[Category]]="Footwear"),"High","Low")</f>
        <v>Low</v>
      </c>
      <c r="O3" t="str">
        <f>TEXT(Table1[[#This Row],[Date]],"MMM-YY")</f>
        <v>Mar-25</v>
      </c>
      <c r="P3" s="10" t="str">
        <f>IF(Table1[[#This Row],[profit]]&gt;5000000,"High",IF(Table1[[#This Row],[profit]]&gt;3000000,"Medium","Low"))</f>
        <v>High</v>
      </c>
      <c r="Q3" t="str">
        <f>IF(Table1[[#This Row],[Status]]="Completed","Paid","Notpaid")</f>
        <v>Notpaid</v>
      </c>
      <c r="U3" s="12" t="s">
        <v>316</v>
      </c>
      <c r="V3" s="13">
        <f>SUMIF($I:$I,"New York",$L:$L)</f>
        <v>53137528</v>
      </c>
    </row>
    <row r="4" spans="1:22" x14ac:dyDescent="0.25">
      <c r="A4" t="s">
        <v>23</v>
      </c>
      <c r="B4" s="1">
        <v>45703</v>
      </c>
      <c r="C4" t="s">
        <v>12</v>
      </c>
      <c r="D4" t="s">
        <v>13</v>
      </c>
      <c r="E4">
        <v>2000</v>
      </c>
      <c r="F4">
        <v>56</v>
      </c>
      <c r="G4">
        <f>Table1[[#This Row],[Price]]*Table1[[#This Row],[Quantity]]</f>
        <v>112000</v>
      </c>
      <c r="H4" t="s">
        <v>24</v>
      </c>
      <c r="I4" t="s">
        <v>25</v>
      </c>
      <c r="J4" t="s">
        <v>26</v>
      </c>
      <c r="K4" t="s">
        <v>39</v>
      </c>
      <c r="L4">
        <f>Table1[[#This Row],[Total Sales]]*Table1[[#This Row],[Quantity]]</f>
        <v>6272000</v>
      </c>
      <c r="N4" t="str">
        <f>IF(AND(Table1[[#This Row],[Price]]&gt;50,Table1[[#This Row],[Category]]="Footwear"),"High","Low")</f>
        <v>High</v>
      </c>
      <c r="O4" t="str">
        <f>TEXT(Table1[[#This Row],[Date]],"MMM-YY")</f>
        <v>Feb-25</v>
      </c>
      <c r="P4" s="10" t="str">
        <f>IF(Table1[[#This Row],[profit]]&gt;5000000,"High",IF(Table1[[#This Row],[profit]]&gt;3000000,"Medium","Low"))</f>
        <v>High</v>
      </c>
      <c r="Q4" t="str">
        <f>IF(Table1[[#This Row],[Status]]="Completed","Paid","Notpaid")</f>
        <v>Paid</v>
      </c>
    </row>
    <row r="5" spans="1:22" x14ac:dyDescent="0.25">
      <c r="A5" t="s">
        <v>27</v>
      </c>
      <c r="B5" s="1">
        <v>45707</v>
      </c>
      <c r="C5" t="s">
        <v>12</v>
      </c>
      <c r="D5" t="s">
        <v>13</v>
      </c>
      <c r="E5">
        <v>2000</v>
      </c>
      <c r="F5">
        <v>72</v>
      </c>
      <c r="G5">
        <f>Table1[[#This Row],[Price]]*Table1[[#This Row],[Quantity]]</f>
        <v>144000</v>
      </c>
      <c r="H5" t="s">
        <v>28</v>
      </c>
      <c r="I5" t="s">
        <v>29</v>
      </c>
      <c r="J5" t="s">
        <v>30</v>
      </c>
      <c r="K5" t="s">
        <v>22</v>
      </c>
      <c r="L5">
        <f>Table1[[#This Row],[Total Sales]]*Table1[[#This Row],[Quantity]]</f>
        <v>10368000</v>
      </c>
      <c r="N5" t="str">
        <f>IF(AND(Table1[[#This Row],[Price]]&gt;50,Table1[[#This Row],[Category]]="Footwear"),"High","Low")</f>
        <v>High</v>
      </c>
      <c r="O5" t="str">
        <f>TEXT(Table1[[#This Row],[Date]],"MMM-YY")</f>
        <v>Feb-25</v>
      </c>
      <c r="P5" s="10" t="str">
        <f>IF(Table1[[#This Row],[profit]]&gt;5000000,"High",IF(Table1[[#This Row],[profit]]&gt;3000000,"Medium","Low"))</f>
        <v>High</v>
      </c>
      <c r="Q5" t="str">
        <f>IF(Table1[[#This Row],[Status]]="Completed","Paid","Notpaid")</f>
        <v>Notpaid</v>
      </c>
    </row>
    <row r="6" spans="1:22" x14ac:dyDescent="0.25">
      <c r="A6" t="s">
        <v>31</v>
      </c>
      <c r="B6" s="1">
        <v>45726</v>
      </c>
      <c r="C6" t="s">
        <v>32</v>
      </c>
      <c r="D6" t="s">
        <v>19</v>
      </c>
      <c r="E6">
        <v>1000</v>
      </c>
      <c r="F6">
        <v>12</v>
      </c>
      <c r="G6">
        <f>Table1[[#This Row],[Price]]*Table1[[#This Row],[Quantity]]</f>
        <v>12000</v>
      </c>
      <c r="H6" t="s">
        <v>14</v>
      </c>
      <c r="I6" t="s">
        <v>15</v>
      </c>
      <c r="J6" t="s">
        <v>16</v>
      </c>
      <c r="K6" t="s">
        <v>22</v>
      </c>
      <c r="L6">
        <f>Table1[[#This Row],[Total Sales]]*Table1[[#This Row],[Quantity]]</f>
        <v>144000</v>
      </c>
      <c r="N6" t="str">
        <f>IF(AND(Table1[[#This Row],[Price]]&gt;50,Table1[[#This Row],[Category]]="Footwear"),"High","Low")</f>
        <v>Low</v>
      </c>
      <c r="O6" t="str">
        <f>TEXT(Table1[[#This Row],[Date]],"MMM-YY")</f>
        <v>Mar-25</v>
      </c>
      <c r="P6" s="10" t="str">
        <f>IF(Table1[[#This Row],[profit]]&gt;5000000,"High",IF(Table1[[#This Row],[profit]]&gt;3000000,"Medium","Low"))</f>
        <v>Low</v>
      </c>
      <c r="Q6" t="str">
        <f>IF(Table1[[#This Row],[Status]]="Completed","Paid","Notpaid")</f>
        <v>Notpaid</v>
      </c>
    </row>
    <row r="7" spans="1:22" x14ac:dyDescent="0.25">
      <c r="A7" t="s">
        <v>33</v>
      </c>
      <c r="B7" s="1">
        <f ca="1">_xlfn.XLOOKUP(A7,Amazon_sales!$A:$A,Amazon_sales!$B:$B,"Not found",0)</f>
        <v>45736</v>
      </c>
      <c r="C7" t="s">
        <v>34</v>
      </c>
      <c r="D7" t="s">
        <v>35</v>
      </c>
      <c r="E7">
        <v>500</v>
      </c>
      <c r="F7">
        <v>45</v>
      </c>
      <c r="G7">
        <f>Table1[[#This Row],[Price]]*Table1[[#This Row],[Quantity]]</f>
        <v>22500</v>
      </c>
      <c r="H7" t="s">
        <v>24</v>
      </c>
      <c r="I7" t="s">
        <v>29</v>
      </c>
      <c r="J7" t="s">
        <v>30</v>
      </c>
      <c r="K7" t="s">
        <v>22</v>
      </c>
      <c r="L7">
        <f>Table1[[#This Row],[Total Sales]]*Table1[[#This Row],[Quantity]]</f>
        <v>1012500</v>
      </c>
      <c r="N7" t="str">
        <f>IF(AND(Table1[[#This Row],[Price]]&gt;50,Table1[[#This Row],[Category]]="Footwear"),"High","Low")</f>
        <v>Low</v>
      </c>
      <c r="O7" t="str">
        <f ca="1">TEXT(Table1[[#This Row],[Date]],"MMM-YY")</f>
        <v>Jan-00</v>
      </c>
      <c r="P7" s="10" t="str">
        <f>IF(Table1[[#This Row],[profit]]&gt;5000000,"High",IF(Table1[[#This Row],[profit]]&gt;3000000,"Medium","Low"))</f>
        <v>Low</v>
      </c>
      <c r="Q7" t="str">
        <f>IF(Table1[[#This Row],[Status]]="Completed","Paid","Notpaid")</f>
        <v>Notpaid</v>
      </c>
    </row>
    <row r="8" spans="1:22" x14ac:dyDescent="0.25">
      <c r="A8" t="s">
        <v>36</v>
      </c>
      <c r="B8" s="1">
        <v>45734</v>
      </c>
      <c r="C8" t="s">
        <v>32</v>
      </c>
      <c r="D8" t="s">
        <v>19</v>
      </c>
      <c r="E8">
        <v>2000</v>
      </c>
      <c r="F8">
        <v>67</v>
      </c>
      <c r="G8">
        <f>Table1[[#This Row],[Price]]*Table1[[#This Row],[Quantity]]</f>
        <v>134000</v>
      </c>
      <c r="H8" t="s">
        <v>14</v>
      </c>
      <c r="I8" t="s">
        <v>37</v>
      </c>
      <c r="J8" t="s">
        <v>38</v>
      </c>
      <c r="K8" t="s">
        <v>39</v>
      </c>
      <c r="L8">
        <f>Table1[[#This Row],[Total Sales]]*Table1[[#This Row],[Quantity]]</f>
        <v>8978000</v>
      </c>
      <c r="N8" t="str">
        <f>IF(AND(Table1[[#This Row],[Price]]&gt;50,Table1[[#This Row],[Category]]="Footwear"),"High","Low")</f>
        <v>Low</v>
      </c>
      <c r="O8" t="str">
        <f>TEXT(Table1[[#This Row],[Date]],"MMM-YY")</f>
        <v>Mar-25</v>
      </c>
      <c r="P8" s="10" t="str">
        <f>IF(Table1[[#This Row],[profit]]&gt;5000000,"High",IF(Table1[[#This Row],[profit]]&gt;3000000,"Medium","Low"))</f>
        <v>High</v>
      </c>
      <c r="Q8" t="str">
        <f>IF(Table1[[#This Row],[Status]]="Completed","Paid","Notpaid")</f>
        <v>Paid</v>
      </c>
    </row>
    <row r="9" spans="1:22" x14ac:dyDescent="0.25">
      <c r="A9" t="s">
        <v>40</v>
      </c>
      <c r="B9" s="1">
        <v>45718</v>
      </c>
      <c r="C9" t="s">
        <v>41</v>
      </c>
      <c r="D9" t="s">
        <v>19</v>
      </c>
      <c r="E9">
        <v>3000</v>
      </c>
      <c r="F9">
        <v>23</v>
      </c>
      <c r="G9">
        <f>Table1[[#This Row],[Price]]*Table1[[#This Row],[Quantity]]</f>
        <v>69000</v>
      </c>
      <c r="H9" t="s">
        <v>42</v>
      </c>
      <c r="I9" t="s">
        <v>43</v>
      </c>
      <c r="J9" t="s">
        <v>38</v>
      </c>
      <c r="K9" t="s">
        <v>39</v>
      </c>
      <c r="L9">
        <f>Table1[[#This Row],[Total Sales]]*Table1[[#This Row],[Quantity]]</f>
        <v>1587000</v>
      </c>
      <c r="N9" t="str">
        <f>IF(AND(Table1[[#This Row],[Price]]&gt;50,Table1[[#This Row],[Category]]="Footwear"),"High","Low")</f>
        <v>Low</v>
      </c>
      <c r="O9" t="str">
        <f>TEXT(Table1[[#This Row],[Date]],"MMM-YY")</f>
        <v>Mar-25</v>
      </c>
      <c r="P9" s="10" t="str">
        <f>IF(Table1[[#This Row],[profit]]&gt;5000000,"High",IF(Table1[[#This Row],[profit]]&gt;3000000,"Medium","Low"))</f>
        <v>Low</v>
      </c>
      <c r="Q9" t="str">
        <f>IF(OR(Table1[[#This Row],[Status]]="Completed",Table1[[#This Row],[Status]]="Pending"),"Paid","Notpaid")</f>
        <v>Paid</v>
      </c>
    </row>
    <row r="10" spans="1:22" x14ac:dyDescent="0.25">
      <c r="A10" t="s">
        <v>44</v>
      </c>
      <c r="B10" s="1">
        <v>45724</v>
      </c>
      <c r="C10" t="s">
        <v>34</v>
      </c>
      <c r="D10" t="s">
        <v>35</v>
      </c>
      <c r="E10">
        <v>5000</v>
      </c>
      <c r="F10">
        <v>89</v>
      </c>
      <c r="G10">
        <f>Table1[[#This Row],[Price]]*Table1[[#This Row],[Quantity]]</f>
        <v>445000</v>
      </c>
      <c r="H10" t="s">
        <v>42</v>
      </c>
      <c r="I10" t="s">
        <v>45</v>
      </c>
      <c r="J10" t="s">
        <v>38</v>
      </c>
      <c r="K10" t="s">
        <v>39</v>
      </c>
      <c r="L10">
        <f>Table1[[#This Row],[Total Sales]]*Table1[[#This Row],[Quantity]]</f>
        <v>39605000</v>
      </c>
      <c r="N10" t="str">
        <f>IF(AND(Table1[[#This Row],[Price]]&gt;50,Table1[[#This Row],[Category]]="Footwear"),"High","Low")</f>
        <v>Low</v>
      </c>
      <c r="O10" t="str">
        <f>TEXT(Table1[[#This Row],[Date]],"MMM-YY")</f>
        <v>Mar-25</v>
      </c>
      <c r="P10" s="10" t="str">
        <f>IF(Table1[[#This Row],[profit]]&gt;5000000,"High",IF(Table1[[#This Row],[profit]]&gt;3000000,"Medium","Low"))</f>
        <v>High</v>
      </c>
      <c r="Q10" t="str">
        <f>IF(OR(Table1[[#This Row],[Status]]="Completed",Table1[[#This Row],[Status]]="Pending"),"Paid","Notpaid")</f>
        <v>Paid</v>
      </c>
    </row>
    <row r="11" spans="1:22" x14ac:dyDescent="0.25">
      <c r="A11" t="s">
        <v>46</v>
      </c>
      <c r="B11" s="1">
        <v>45728</v>
      </c>
      <c r="C11" t="s">
        <v>41</v>
      </c>
      <c r="D11" t="s">
        <v>19</v>
      </c>
      <c r="E11">
        <v>2000</v>
      </c>
      <c r="F11">
        <v>42</v>
      </c>
      <c r="G11">
        <f>Table1[[#This Row],[Price]]*Table1[[#This Row],[Quantity]]</f>
        <v>84000</v>
      </c>
      <c r="H11" t="s">
        <v>20</v>
      </c>
      <c r="I11" t="s">
        <v>21</v>
      </c>
      <c r="J11" t="s">
        <v>30</v>
      </c>
      <c r="K11" t="s">
        <v>22</v>
      </c>
      <c r="L11">
        <f>Table1[[#This Row],[Total Sales]]*Table1[[#This Row],[Quantity]]</f>
        <v>3528000</v>
      </c>
      <c r="N11" t="str">
        <f>IF(AND(Table1[[#This Row],[Price]]&gt;50,Table1[[#This Row],[Category]]="Footwear"),"High","Low")</f>
        <v>Low</v>
      </c>
      <c r="O11" t="str">
        <f>TEXT(Table1[[#This Row],[Date]],"MMM-YY")</f>
        <v>Mar-25</v>
      </c>
      <c r="P11" s="10" t="str">
        <f>IF(Table1[[#This Row],[profit]]&gt;5000000,"High",IF(Table1[[#This Row],[profit]]&gt;3000000,"Medium","Low"))</f>
        <v>Medium</v>
      </c>
      <c r="Q11" t="str">
        <f>IF(OR(Table1[[#This Row],[Status]]="Completed",Table1[[#This Row],[Status]]="Pending"),"Paid","Notpaid")</f>
        <v>Paid</v>
      </c>
    </row>
    <row r="12" spans="1:22" x14ac:dyDescent="0.25">
      <c r="A12" t="s">
        <v>47</v>
      </c>
      <c r="B12" s="1">
        <v>45705</v>
      </c>
      <c r="C12" t="s">
        <v>48</v>
      </c>
      <c r="D12" t="s">
        <v>49</v>
      </c>
      <c r="E12">
        <v>2000</v>
      </c>
      <c r="F12">
        <v>51</v>
      </c>
      <c r="G12">
        <f>Table1[[#This Row],[Price]]*Table1[[#This Row],[Quantity]]</f>
        <v>102000</v>
      </c>
      <c r="H12" t="s">
        <v>50</v>
      </c>
      <c r="I12" t="s">
        <v>45</v>
      </c>
      <c r="J12" t="s">
        <v>26</v>
      </c>
      <c r="K12" t="s">
        <v>22</v>
      </c>
      <c r="L12">
        <f>Table1[[#This Row],[Total Sales]]*Table1[[#This Row],[Quantity]]</f>
        <v>5202000</v>
      </c>
      <c r="N12" t="str">
        <f>IF(AND(Table1[[#This Row],[Price]]&gt;50,Table1[[#This Row],[Category]]="Footwear"),"High","Low")</f>
        <v>Low</v>
      </c>
      <c r="O12" t="str">
        <f>TEXT(Table1[[#This Row],[Date]],"MMM-YY")</f>
        <v>Feb-25</v>
      </c>
      <c r="P12" s="10" t="str">
        <f>IF(Table1[[#This Row],[profit]]&gt;5000000,"High",IF(Table1[[#This Row],[profit]]&gt;3000000,"Medium","Low"))</f>
        <v>High</v>
      </c>
      <c r="Q12" t="str">
        <f>IF(OR(Table1[[#This Row],[Status]]="Completed",Table1[[#This Row],[Status]]="Pending"),"Paid","Notpaid")</f>
        <v>Paid</v>
      </c>
    </row>
    <row r="13" spans="1:22" x14ac:dyDescent="0.25">
      <c r="A13" t="s">
        <v>51</v>
      </c>
      <c r="B13" s="1">
        <v>45729</v>
      </c>
      <c r="C13" t="s">
        <v>52</v>
      </c>
      <c r="D13" t="s">
        <v>35</v>
      </c>
      <c r="E13">
        <v>1000</v>
      </c>
      <c r="F13">
        <v>45</v>
      </c>
      <c r="G13">
        <f>Table1[[#This Row],[Price]]*Table1[[#This Row],[Quantity]]</f>
        <v>45000</v>
      </c>
      <c r="H13" t="s">
        <v>53</v>
      </c>
      <c r="I13" t="s">
        <v>29</v>
      </c>
      <c r="J13" t="s">
        <v>30</v>
      </c>
      <c r="K13" t="s">
        <v>39</v>
      </c>
      <c r="L13">
        <f>Table1[[#This Row],[Total Sales]]*Table1[[#This Row],[Quantity]]</f>
        <v>2025000</v>
      </c>
      <c r="N13" t="str">
        <f>IF(AND(Table1[[#This Row],[Price]]&gt;50,Table1[[#This Row],[Category]]="Footwear"),"High","Low")</f>
        <v>Low</v>
      </c>
      <c r="O13" t="str">
        <f>TEXT(Table1[[#This Row],[Date]],"MMM-YY")</f>
        <v>Mar-25</v>
      </c>
      <c r="P13" s="10" t="str">
        <f>IF(Table1[[#This Row],[profit]]&gt;5000000,"High",IF(Table1[[#This Row],[profit]]&gt;3000000,"Medium","Low"))</f>
        <v>Low</v>
      </c>
      <c r="Q13" t="str">
        <f>IF(OR(Table1[[#This Row],[Status]]="Completed",Table1[[#This Row],[Status]]="Pending"),"Paid","Notpaid")</f>
        <v>Paid</v>
      </c>
    </row>
    <row r="14" spans="1:22" x14ac:dyDescent="0.25">
      <c r="A14" t="s">
        <v>54</v>
      </c>
      <c r="B14" s="1">
        <v>45717</v>
      </c>
      <c r="C14" t="s">
        <v>55</v>
      </c>
      <c r="D14" t="s">
        <v>19</v>
      </c>
      <c r="E14">
        <v>500</v>
      </c>
      <c r="F14">
        <v>63</v>
      </c>
      <c r="G14">
        <f>Table1[[#This Row],[Price]]*Table1[[#This Row],[Quantity]]</f>
        <v>31500</v>
      </c>
      <c r="H14" t="s">
        <v>56</v>
      </c>
      <c r="I14" t="s">
        <v>21</v>
      </c>
      <c r="J14" t="s">
        <v>57</v>
      </c>
      <c r="K14" t="s">
        <v>22</v>
      </c>
      <c r="L14">
        <f>Table1[[#This Row],[Total Sales]]*Table1[[#This Row],[Quantity]]</f>
        <v>1984500</v>
      </c>
      <c r="N14" t="str">
        <f>IF(AND(Table1[[#This Row],[Price]]&gt;50,Table1[[#This Row],[Category]]="Footwear"),"High","Low")</f>
        <v>Low</v>
      </c>
      <c r="O14" t="str">
        <f>TEXT(Table1[[#This Row],[Date]],"MMM-YY")</f>
        <v>Mar-25</v>
      </c>
      <c r="P14" s="10" t="str">
        <f>IF(Table1[[#This Row],[profit]]&gt;5000000,"High",IF(Table1[[#This Row],[profit]]&gt;3000000,"Medium","Low"))</f>
        <v>Low</v>
      </c>
      <c r="Q14" t="str">
        <f>IF(OR(Table1[[#This Row],[Status]]="Completed",Table1[[#This Row],[Status]]="Pending"),"Paid","no paid")</f>
        <v>Paid</v>
      </c>
    </row>
    <row r="15" spans="1:22" x14ac:dyDescent="0.25">
      <c r="A15" t="s">
        <v>58</v>
      </c>
      <c r="B15" s="1">
        <v>45720</v>
      </c>
      <c r="C15" t="s">
        <v>59</v>
      </c>
      <c r="D15" t="s">
        <v>60</v>
      </c>
      <c r="E15">
        <v>2000</v>
      </c>
      <c r="F15">
        <v>35</v>
      </c>
      <c r="G15">
        <f>Table1[[#This Row],[Price]]*Table1[[#This Row],[Quantity]]</f>
        <v>70000</v>
      </c>
      <c r="H15" t="s">
        <v>53</v>
      </c>
      <c r="I15" t="s">
        <v>43</v>
      </c>
      <c r="J15" t="s">
        <v>30</v>
      </c>
      <c r="K15" t="s">
        <v>22</v>
      </c>
      <c r="L15">
        <f>Table1[[#This Row],[Total Sales]]*Table1[[#This Row],[Quantity]]</f>
        <v>2450000</v>
      </c>
      <c r="N15" t="str">
        <f>IF(AND(Table1[[#This Row],[Price]]&gt;50,Table1[[#This Row],[Category]]="Footwear"),"High","Low")</f>
        <v>Low</v>
      </c>
      <c r="O15" t="str">
        <f>TEXT(Table1[[#This Row],[Date]],"MMM-YY")</f>
        <v>Mar-25</v>
      </c>
      <c r="P15" s="10" t="str">
        <f>IF(Table1[[#This Row],[profit]]&gt;5000000,"High",IF(Table1[[#This Row],[profit]]&gt;3000000,"Medium","Low"))</f>
        <v>Low</v>
      </c>
      <c r="Q15" t="str">
        <f>IF(OR(Table1[[#This Row],[Status]]="Completed",Table1[[#This Row],[Status]]="Pending"),"Paid","no paid")</f>
        <v>Paid</v>
      </c>
    </row>
    <row r="16" spans="1:22" x14ac:dyDescent="0.25">
      <c r="A16" t="s">
        <v>61</v>
      </c>
      <c r="B16" s="1">
        <v>45708</v>
      </c>
      <c r="C16" t="s">
        <v>32</v>
      </c>
      <c r="D16" t="s">
        <v>19</v>
      </c>
      <c r="E16">
        <v>3000</v>
      </c>
      <c r="F16">
        <v>44</v>
      </c>
      <c r="G16">
        <f>Table1[[#This Row],[Price]]*Table1[[#This Row],[Quantity]]</f>
        <v>132000</v>
      </c>
      <c r="H16" t="s">
        <v>24</v>
      </c>
      <c r="I16" t="s">
        <v>62</v>
      </c>
      <c r="J16" t="s">
        <v>30</v>
      </c>
      <c r="K16" t="s">
        <v>39</v>
      </c>
      <c r="L16">
        <f>Table1[[#This Row],[Total Sales]]*Table1[[#This Row],[Quantity]]</f>
        <v>5808000</v>
      </c>
      <c r="N16" t="str">
        <f>IF(AND(Table1[[#This Row],[Price]]&gt;50,Table1[[#This Row],[Category]]="Footwear"),"High","Low")</f>
        <v>Low</v>
      </c>
      <c r="O16" t="str">
        <f>TEXT(Table1[[#This Row],[Date]],"MMM-YY")</f>
        <v>Feb-25</v>
      </c>
      <c r="P16" s="10" t="str">
        <f>IF(Table1[[#This Row],[profit]]&gt;5000000,"High",IF(Table1[[#This Row],[profit]]&gt;3000000,"Medium","Low"))</f>
        <v>High</v>
      </c>
      <c r="Q16" t="str">
        <f>IF(OR(Table1[[#This Row],[Status]]="Completed",Table1[[#This Row],[Status]]="Pending"),"Paid","no paid")</f>
        <v>Paid</v>
      </c>
    </row>
    <row r="17" spans="1:17" x14ac:dyDescent="0.25">
      <c r="A17" t="s">
        <v>63</v>
      </c>
      <c r="B17" s="1">
        <v>45714</v>
      </c>
      <c r="C17" t="s">
        <v>64</v>
      </c>
      <c r="D17" t="s">
        <v>60</v>
      </c>
      <c r="E17">
        <v>5000</v>
      </c>
      <c r="F17">
        <v>22</v>
      </c>
      <c r="G17">
        <f>Table1[[#This Row],[Price]]*Table1[[#This Row],[Quantity]]</f>
        <v>110000</v>
      </c>
      <c r="H17" t="s">
        <v>24</v>
      </c>
      <c r="I17" t="s">
        <v>45</v>
      </c>
      <c r="J17" t="s">
        <v>30</v>
      </c>
      <c r="K17" t="s">
        <v>22</v>
      </c>
      <c r="L17">
        <f>Table1[[#This Row],[Total Sales]]*Table1[[#This Row],[Quantity]]</f>
        <v>2420000</v>
      </c>
      <c r="N17" t="str">
        <f>IF(AND(Table1[[#This Row],[Price]]&gt;50,Table1[[#This Row],[Category]]="Footwear"),"High","Low")</f>
        <v>Low</v>
      </c>
      <c r="O17" t="str">
        <f>TEXT(Table1[[#This Row],[Date]],"MMM-YY")</f>
        <v>Feb-25</v>
      </c>
      <c r="P17" s="10" t="str">
        <f>IF(Table1[[#This Row],[profit]]&gt;5000000,"High",IF(Table1[[#This Row],[profit]]&gt;3000000,"Medium","Low"))</f>
        <v>Low</v>
      </c>
      <c r="Q17" t="str">
        <f>IF(OR(Table1[[#This Row],[Status]]="Completed",Table1[[#This Row],[Status]]="Pending"),"Paid","no paid")</f>
        <v>Paid</v>
      </c>
    </row>
    <row r="18" spans="1:17" x14ac:dyDescent="0.25">
      <c r="A18" t="s">
        <v>65</v>
      </c>
      <c r="B18" s="1">
        <v>45748</v>
      </c>
      <c r="C18" t="s">
        <v>34</v>
      </c>
      <c r="D18" t="s">
        <v>35</v>
      </c>
      <c r="E18">
        <v>2000</v>
      </c>
      <c r="F18">
        <v>16</v>
      </c>
      <c r="G18">
        <f>Table1[[#This Row],[Price]]*Table1[[#This Row],[Quantity]]</f>
        <v>32000</v>
      </c>
      <c r="H18" t="s">
        <v>14</v>
      </c>
      <c r="I18" t="s">
        <v>15</v>
      </c>
      <c r="J18" t="s">
        <v>26</v>
      </c>
      <c r="K18" t="s">
        <v>39</v>
      </c>
      <c r="L18">
        <f>Table1[[#This Row],[Total Sales]]*Table1[[#This Row],[Quantity]]</f>
        <v>512000</v>
      </c>
      <c r="N18" t="str">
        <f>IF(AND(Table1[[#This Row],[Price]]&gt;50,Table1[[#This Row],[Category]]="Footwear"),"High","Low")</f>
        <v>Low</v>
      </c>
      <c r="O18" t="str">
        <f>TEXT(Table1[[#This Row],[Date]],"MMM-YY")</f>
        <v>Apr-25</v>
      </c>
      <c r="P18" s="10" t="str">
        <f>IF(Table1[[#This Row],[profit]]&gt;5000000,"High",IF(Table1[[#This Row],[profit]]&gt;3000000,"Medium","Low"))</f>
        <v>Low</v>
      </c>
      <c r="Q18" t="str">
        <f>IF(OR(Table1[[#This Row],[Status]]="Completed",Table1[[#This Row],[Status]]="Pending"),"Paid","no paid")</f>
        <v>Paid</v>
      </c>
    </row>
    <row r="19" spans="1:17" x14ac:dyDescent="0.25">
      <c r="A19" t="s">
        <v>66</v>
      </c>
      <c r="B19" s="1">
        <v>45698</v>
      </c>
      <c r="C19" t="s">
        <v>41</v>
      </c>
      <c r="D19" t="s">
        <v>19</v>
      </c>
      <c r="E19">
        <v>2000</v>
      </c>
      <c r="F19">
        <v>12</v>
      </c>
      <c r="G19">
        <f>Table1[[#This Row],[Price]]*Table1[[#This Row],[Quantity]]</f>
        <v>24000</v>
      </c>
      <c r="H19" t="s">
        <v>53</v>
      </c>
      <c r="I19" t="s">
        <v>67</v>
      </c>
      <c r="J19" t="s">
        <v>26</v>
      </c>
      <c r="K19" t="s">
        <v>39</v>
      </c>
      <c r="L19">
        <f>Table1[[#This Row],[Total Sales]]*Table1[[#This Row],[Quantity]]</f>
        <v>288000</v>
      </c>
      <c r="N19" t="str">
        <f>IF(AND(Table1[[#This Row],[Price]]&gt;50,Table1[[#This Row],[Category]]="Footwear"),"High","Low")</f>
        <v>Low</v>
      </c>
      <c r="O19" t="str">
        <f>TEXT(Table1[[#This Row],[Date]],"MMM-YY")</f>
        <v>Feb-25</v>
      </c>
      <c r="P19" s="10" t="str">
        <f>IF(Table1[[#This Row],[profit]]&gt;5000000,"High",IF(Table1[[#This Row],[profit]]&gt;3000000,"Medium","Low"))</f>
        <v>Low</v>
      </c>
      <c r="Q19" t="str">
        <f>IF(OR(Table1[[#This Row],[Status]]="Completed",Table1[[#This Row],[Status]]="Pending"),"Paid","no paid")</f>
        <v>Paid</v>
      </c>
    </row>
    <row r="20" spans="1:17" x14ac:dyDescent="0.25">
      <c r="A20" t="s">
        <v>68</v>
      </c>
      <c r="B20" s="1">
        <v>45738</v>
      </c>
      <c r="C20" t="s">
        <v>12</v>
      </c>
      <c r="D20" t="s">
        <v>13</v>
      </c>
      <c r="E20">
        <v>1000</v>
      </c>
      <c r="F20">
        <v>31</v>
      </c>
      <c r="G20">
        <f>Table1[[#This Row],[Price]]*Table1[[#This Row],[Quantity]]</f>
        <v>31000</v>
      </c>
      <c r="H20" t="s">
        <v>28</v>
      </c>
      <c r="I20" t="s">
        <v>37</v>
      </c>
      <c r="J20" t="s">
        <v>30</v>
      </c>
      <c r="K20" t="s">
        <v>39</v>
      </c>
      <c r="L20">
        <f>Table1[[#This Row],[Total Sales]]*Table1[[#This Row],[Quantity]]</f>
        <v>961000</v>
      </c>
      <c r="N20" t="str">
        <f>IF(AND(Table1[[#This Row],[Price]]&gt;50,Table1[[#This Row],[Category]]="Footwear"),"High","Low")</f>
        <v>High</v>
      </c>
      <c r="O20" t="str">
        <f>TEXT(Table1[[#This Row],[Date]],"MMM-YY")</f>
        <v>Mar-25</v>
      </c>
      <c r="P20" s="10" t="str">
        <f>IF(Table1[[#This Row],[profit]]&gt;5000000,"High",IF(Table1[[#This Row],[profit]]&gt;3000000,"Medium","Low"))</f>
        <v>Low</v>
      </c>
      <c r="Q20" t="str">
        <f>IF(OR(Table1[[#This Row],[Status]]="Completed",Table1[[#This Row],[Status]]="Pending"),"Paid","no paid")</f>
        <v>Paid</v>
      </c>
    </row>
    <row r="21" spans="1:17" x14ac:dyDescent="0.25">
      <c r="A21" t="s">
        <v>69</v>
      </c>
      <c r="B21" s="1">
        <v>45723</v>
      </c>
      <c r="C21" t="s">
        <v>18</v>
      </c>
      <c r="D21" t="s">
        <v>19</v>
      </c>
      <c r="E21">
        <v>500</v>
      </c>
      <c r="F21">
        <v>63</v>
      </c>
      <c r="G21">
        <f>Table1[[#This Row],[Price]]*Table1[[#This Row],[Quantity]]</f>
        <v>31500</v>
      </c>
      <c r="H21" t="s">
        <v>28</v>
      </c>
      <c r="I21" t="s">
        <v>62</v>
      </c>
      <c r="J21" t="s">
        <v>16</v>
      </c>
      <c r="K21" t="s">
        <v>22</v>
      </c>
      <c r="L21">
        <f>Table1[[#This Row],[Total Sales]]*Table1[[#This Row],[Quantity]]</f>
        <v>1984500</v>
      </c>
      <c r="N21" t="str">
        <f>IF(AND(Table1[[#This Row],[Price]]&gt;50,Table1[[#This Row],[Category]]="Footwear"),"High","Low")</f>
        <v>Low</v>
      </c>
      <c r="O21" t="str">
        <f>TEXT(Table1[[#This Row],[Date]],"MMM-YY")</f>
        <v>Mar-25</v>
      </c>
      <c r="P21" s="10" t="str">
        <f>IF(Table1[[#This Row],[profit]]&gt;5000000,"High",IF(Table1[[#This Row],[profit]]&gt;3000000,"Medium","Low"))</f>
        <v>Low</v>
      </c>
      <c r="Q21" t="str">
        <f>IF(OR(Table1[[#This Row],[Status]]="Completed",Table1[[#This Row],[Status]]="Pending"),"Paid","no paid")</f>
        <v>Paid</v>
      </c>
    </row>
    <row r="22" spans="1:17" x14ac:dyDescent="0.25">
      <c r="A22" t="s">
        <v>70</v>
      </c>
      <c r="B22" s="1">
        <v>45693</v>
      </c>
      <c r="C22" t="s">
        <v>18</v>
      </c>
      <c r="D22" t="s">
        <v>19</v>
      </c>
      <c r="E22">
        <v>2000</v>
      </c>
      <c r="F22">
        <v>35</v>
      </c>
      <c r="G22">
        <f>Table1[[#This Row],[Price]]*Table1[[#This Row],[Quantity]]</f>
        <v>70000</v>
      </c>
      <c r="H22" t="s">
        <v>71</v>
      </c>
      <c r="I22" t="s">
        <v>43</v>
      </c>
      <c r="J22" t="s">
        <v>16</v>
      </c>
      <c r="K22" t="s">
        <v>39</v>
      </c>
      <c r="L22">
        <f>Table1[[#This Row],[Total Sales]]*Table1[[#This Row],[Quantity]]</f>
        <v>2450000</v>
      </c>
      <c r="N22" t="str">
        <f>IF(AND(Table1[[#This Row],[Price]]&gt;50,Table1[[#This Row],[Category]]="Footwear"),"High","Low")</f>
        <v>Low</v>
      </c>
      <c r="O22" t="str">
        <f>TEXT(Table1[[#This Row],[Date]],"MMM-YY")</f>
        <v>Feb-25</v>
      </c>
      <c r="P22" s="10" t="str">
        <f>IF(Table1[[#This Row],[profit]]&gt;5000000,"High",IF(Table1[[#This Row],[profit]]&gt;3000000,"Medium","Low"))</f>
        <v>Low</v>
      </c>
      <c r="Q22" t="str">
        <f>IF(OR(Table1[[#This Row],[Status]]="Completed",Table1[[#This Row],[Status]]="Pending"),"Paid","no paid")</f>
        <v>Paid</v>
      </c>
    </row>
    <row r="23" spans="1:17" x14ac:dyDescent="0.25">
      <c r="A23" t="s">
        <v>72</v>
      </c>
      <c r="B23" s="1">
        <v>45723</v>
      </c>
      <c r="C23" t="s">
        <v>64</v>
      </c>
      <c r="D23" t="s">
        <v>60</v>
      </c>
      <c r="E23">
        <v>3000</v>
      </c>
      <c r="F23">
        <v>44</v>
      </c>
      <c r="G23">
        <f>Table1[[#This Row],[Price]]*Table1[[#This Row],[Quantity]]</f>
        <v>132000</v>
      </c>
      <c r="H23" t="s">
        <v>28</v>
      </c>
      <c r="I23" t="s">
        <v>37</v>
      </c>
      <c r="J23" t="s">
        <v>30</v>
      </c>
      <c r="K23" t="s">
        <v>22</v>
      </c>
      <c r="L23">
        <f>Table1[[#This Row],[Total Sales]]*Table1[[#This Row],[Quantity]]</f>
        <v>5808000</v>
      </c>
      <c r="N23" t="str">
        <f>IF(AND(Table1[[#This Row],[Price]]&gt;50,Table1[[#This Row],[Category]]="Footwear"),"High","Low")</f>
        <v>Low</v>
      </c>
      <c r="O23" t="str">
        <f>TEXT(Table1[[#This Row],[Date]],"MMM-YY")</f>
        <v>Mar-25</v>
      </c>
      <c r="P23" s="10" t="str">
        <f>IF(Table1[[#This Row],[profit]]&gt;5000000,"High",IF(Table1[[#This Row],[profit]]&gt;3000000,"Medium","Low"))</f>
        <v>High</v>
      </c>
      <c r="Q23" t="str">
        <f>IF(OR(Table1[[#This Row],[Status]]="Completed",Table1[[#This Row],[Status]]="Pending"),"Paid","no paid")</f>
        <v>Paid</v>
      </c>
    </row>
    <row r="24" spans="1:17" x14ac:dyDescent="0.25">
      <c r="A24" t="s">
        <v>73</v>
      </c>
      <c r="B24" s="1">
        <v>45711</v>
      </c>
      <c r="C24" t="s">
        <v>48</v>
      </c>
      <c r="D24" t="s">
        <v>49</v>
      </c>
      <c r="E24">
        <v>5000</v>
      </c>
      <c r="F24">
        <v>22</v>
      </c>
      <c r="G24">
        <f>Table1[[#This Row],[Price]]*Table1[[#This Row],[Quantity]]</f>
        <v>110000</v>
      </c>
      <c r="H24" t="s">
        <v>14</v>
      </c>
      <c r="I24" t="s">
        <v>37</v>
      </c>
      <c r="J24" t="s">
        <v>30</v>
      </c>
      <c r="K24" t="s">
        <v>39</v>
      </c>
      <c r="L24">
        <f>Table1[[#This Row],[Total Sales]]*Table1[[#This Row],[Quantity]]</f>
        <v>2420000</v>
      </c>
      <c r="N24" t="str">
        <f>IF(AND(Table1[[#This Row],[Price]]&gt;50,Table1[[#This Row],[Category]]="Footwear"),"High","Low")</f>
        <v>Low</v>
      </c>
      <c r="O24" t="str">
        <f>TEXT(Table1[[#This Row],[Date]],"MMM-YY")</f>
        <v>Feb-25</v>
      </c>
      <c r="P24" s="10" t="str">
        <f>IF(Table1[[#This Row],[profit]]&gt;5000000,"High",IF(Table1[[#This Row],[profit]]&gt;3000000,"Medium","Low"))</f>
        <v>Low</v>
      </c>
      <c r="Q24" t="str">
        <f>IF(OR(Table1[[#This Row],[Status]]="Completed",Table1[[#This Row],[Status]]="Pending"),"Paid","no paid")</f>
        <v>Paid</v>
      </c>
    </row>
    <row r="25" spans="1:17" x14ac:dyDescent="0.25">
      <c r="A25" t="s">
        <v>74</v>
      </c>
      <c r="B25" s="1">
        <v>45740</v>
      </c>
      <c r="C25" t="s">
        <v>64</v>
      </c>
      <c r="D25" t="s">
        <v>60</v>
      </c>
      <c r="E25">
        <v>2000</v>
      </c>
      <c r="F25">
        <v>16</v>
      </c>
      <c r="G25">
        <f>Table1[[#This Row],[Price]]*Table1[[#This Row],[Quantity]]</f>
        <v>32000</v>
      </c>
      <c r="H25" t="s">
        <v>71</v>
      </c>
      <c r="I25" t="s">
        <v>29</v>
      </c>
      <c r="J25" t="s">
        <v>30</v>
      </c>
      <c r="K25" t="s">
        <v>22</v>
      </c>
      <c r="L25">
        <f>Table1[[#This Row],[Total Sales]]*Table1[[#This Row],[Quantity]]</f>
        <v>512000</v>
      </c>
      <c r="N25" t="str">
        <f>IF(AND(Table1[[#This Row],[Price]]&gt;50,Table1[[#This Row],[Category]]="Footwear"),"High","Low")</f>
        <v>Low</v>
      </c>
      <c r="O25" t="str">
        <f>TEXT(Table1[[#This Row],[Date]],"MMM-YY")</f>
        <v>Mar-25</v>
      </c>
      <c r="P25" s="10" t="str">
        <f>IF(Table1[[#This Row],[profit]]&gt;5000000,"High",IF(Table1[[#This Row],[profit]]&gt;3000000,"Medium","Low"))</f>
        <v>Low</v>
      </c>
      <c r="Q25" t="str">
        <f>IF(OR(Table1[[#This Row],[Status]]="Completed",Table1[[#This Row],[Status]]="Pending"),"Paid","no paid")</f>
        <v>Paid</v>
      </c>
    </row>
    <row r="26" spans="1:17" x14ac:dyDescent="0.25">
      <c r="A26" t="s">
        <v>75</v>
      </c>
      <c r="B26" s="1">
        <v>45718</v>
      </c>
      <c r="C26" t="s">
        <v>48</v>
      </c>
      <c r="D26" t="s">
        <v>49</v>
      </c>
      <c r="E26">
        <v>2000</v>
      </c>
      <c r="F26">
        <v>12</v>
      </c>
      <c r="G26">
        <f>Table1[[#This Row],[Price]]*Table1[[#This Row],[Quantity]]</f>
        <v>24000</v>
      </c>
      <c r="H26" t="s">
        <v>42</v>
      </c>
      <c r="I26" t="s">
        <v>62</v>
      </c>
      <c r="J26" t="s">
        <v>26</v>
      </c>
      <c r="K26" t="s">
        <v>22</v>
      </c>
      <c r="L26">
        <f>Table1[[#This Row],[Total Sales]]*Table1[[#This Row],[Quantity]]</f>
        <v>288000</v>
      </c>
      <c r="N26" t="str">
        <f>IF(AND(Table1[[#This Row],[Price]]&gt;50,Table1[[#This Row],[Category]]="Footwear"),"High","Low")</f>
        <v>Low</v>
      </c>
      <c r="O26" t="str">
        <f>TEXT(Table1[[#This Row],[Date]],"MMM-YY")</f>
        <v>Mar-25</v>
      </c>
      <c r="P26" s="10" t="str">
        <f>IF(Table1[[#This Row],[profit]]&gt;5000000,"High",IF(Table1[[#This Row],[profit]]&gt;3000000,"Medium","Low"))</f>
        <v>Low</v>
      </c>
      <c r="Q26" t="str">
        <f>IF(OR(Table1[[#This Row],[Status]]="Completed",Table1[[#This Row],[Status]]="Pending"),"Paid","no paid")</f>
        <v>Paid</v>
      </c>
    </row>
    <row r="27" spans="1:17" x14ac:dyDescent="0.25">
      <c r="A27" t="s">
        <v>76</v>
      </c>
      <c r="B27" s="1">
        <v>45702</v>
      </c>
      <c r="C27" t="s">
        <v>59</v>
      </c>
      <c r="D27" t="s">
        <v>60</v>
      </c>
      <c r="E27">
        <v>1000</v>
      </c>
      <c r="F27">
        <v>31</v>
      </c>
      <c r="G27">
        <f>Table1[[#This Row],[Price]]*Table1[[#This Row],[Quantity]]</f>
        <v>31000</v>
      </c>
      <c r="H27" t="s">
        <v>28</v>
      </c>
      <c r="I27" t="s">
        <v>45</v>
      </c>
      <c r="J27" t="s">
        <v>16</v>
      </c>
      <c r="K27" t="s">
        <v>22</v>
      </c>
      <c r="L27">
        <f>Table1[[#This Row],[Total Sales]]*Table1[[#This Row],[Quantity]]</f>
        <v>961000</v>
      </c>
      <c r="N27" t="str">
        <f>IF(AND(Table1[[#This Row],[Price]]&gt;50,Table1[[#This Row],[Category]]="Footwear"),"High","Low")</f>
        <v>Low</v>
      </c>
      <c r="O27" t="str">
        <f>TEXT(Table1[[#This Row],[Date]],"MMM-YY")</f>
        <v>Feb-25</v>
      </c>
      <c r="P27" s="10" t="str">
        <f>IF(Table1[[#This Row],[profit]]&gt;5000000,"High",IF(Table1[[#This Row],[profit]]&gt;3000000,"Medium","Low"))</f>
        <v>Low</v>
      </c>
      <c r="Q27" t="str">
        <f>IF(OR(Table1[[#This Row],[Status]]="Completed",Table1[[#This Row],[Status]]="Pending"),"Paid","no paid")</f>
        <v>Paid</v>
      </c>
    </row>
    <row r="28" spans="1:17" x14ac:dyDescent="0.25">
      <c r="A28" t="s">
        <v>77</v>
      </c>
      <c r="B28" s="1">
        <v>45695</v>
      </c>
      <c r="C28" t="s">
        <v>34</v>
      </c>
      <c r="D28" t="s">
        <v>35</v>
      </c>
      <c r="E28">
        <v>500</v>
      </c>
      <c r="F28">
        <v>35</v>
      </c>
      <c r="G28">
        <f>Table1[[#This Row],[Price]]*Table1[[#This Row],[Quantity]]</f>
        <v>17500</v>
      </c>
      <c r="H28" t="s">
        <v>56</v>
      </c>
      <c r="I28" t="s">
        <v>15</v>
      </c>
      <c r="J28" t="s">
        <v>26</v>
      </c>
      <c r="K28" t="s">
        <v>39</v>
      </c>
      <c r="L28">
        <f>Table1[[#This Row],[Total Sales]]*Table1[[#This Row],[Quantity]]</f>
        <v>612500</v>
      </c>
      <c r="N28" t="str">
        <f>IF(AND(Table1[[#This Row],[Price]]&gt;50,Table1[[#This Row],[Category]]="Footwear"),"High","Low")</f>
        <v>Low</v>
      </c>
      <c r="O28" t="str">
        <f>TEXT(Table1[[#This Row],[Date]],"MMM-YY")</f>
        <v>Feb-25</v>
      </c>
      <c r="P28" s="10" t="str">
        <f>IF(Table1[[#This Row],[profit]]&gt;5000000,"High",IF(Table1[[#This Row],[profit]]&gt;3000000,"Medium","Low"))</f>
        <v>Low</v>
      </c>
      <c r="Q28" t="str">
        <f>IF(OR(Table1[[#This Row],[Status]]="Completed",Table1[[#This Row],[Status]]="Pending"),"Paid","no paid")</f>
        <v>Paid</v>
      </c>
    </row>
    <row r="29" spans="1:17" x14ac:dyDescent="0.25">
      <c r="A29" t="s">
        <v>78</v>
      </c>
      <c r="B29" s="1">
        <v>45691</v>
      </c>
      <c r="C29" t="s">
        <v>18</v>
      </c>
      <c r="D29" t="s">
        <v>19</v>
      </c>
      <c r="E29">
        <v>2000</v>
      </c>
      <c r="F29">
        <v>44</v>
      </c>
      <c r="G29">
        <f>Table1[[#This Row],[Price]]*Table1[[#This Row],[Quantity]]</f>
        <v>88000</v>
      </c>
      <c r="H29" t="s">
        <v>79</v>
      </c>
      <c r="I29" t="s">
        <v>80</v>
      </c>
      <c r="J29" t="s">
        <v>26</v>
      </c>
      <c r="K29" t="s">
        <v>39</v>
      </c>
      <c r="L29">
        <f>Table1[[#This Row],[Total Sales]]*Table1[[#This Row],[Quantity]]</f>
        <v>3872000</v>
      </c>
      <c r="N29" t="str">
        <f>IF(AND(Table1[[#This Row],[Price]]&gt;50,Table1[[#This Row],[Category]]="Footwear"),"High","Low")</f>
        <v>Low</v>
      </c>
      <c r="O29" t="str">
        <f>TEXT(Table1[[#This Row],[Date]],"MMM-YY")</f>
        <v>Feb-25</v>
      </c>
      <c r="P29" s="10" t="str">
        <f>IF(Table1[[#This Row],[profit]]&gt;5000000,"High",IF(Table1[[#This Row],[profit]]&gt;3000000,"Medium","Low"))</f>
        <v>Medium</v>
      </c>
      <c r="Q29" t="str">
        <f>IF(OR(Table1[[#This Row],[Status]]="Completed",Table1[[#This Row],[Status]]="Pending"),"Paid","no paid")</f>
        <v>Paid</v>
      </c>
    </row>
    <row r="30" spans="1:17" x14ac:dyDescent="0.25">
      <c r="A30" t="s">
        <v>81</v>
      </c>
      <c r="B30" s="1">
        <v>45700</v>
      </c>
      <c r="C30" t="s">
        <v>41</v>
      </c>
      <c r="D30" t="s">
        <v>19</v>
      </c>
      <c r="E30">
        <v>3000</v>
      </c>
      <c r="F30">
        <v>22</v>
      </c>
      <c r="G30">
        <f>Table1[[#This Row],[Price]]*Table1[[#This Row],[Quantity]]</f>
        <v>66000</v>
      </c>
      <c r="H30" t="s">
        <v>42</v>
      </c>
      <c r="I30" t="s">
        <v>25</v>
      </c>
      <c r="J30" t="s">
        <v>30</v>
      </c>
      <c r="K30" t="s">
        <v>39</v>
      </c>
      <c r="L30">
        <f>Table1[[#This Row],[Total Sales]]*Table1[[#This Row],[Quantity]]</f>
        <v>1452000</v>
      </c>
      <c r="N30" t="str">
        <f>IF(AND(Table1[[#This Row],[Price]]&gt;50,Table1[[#This Row],[Category]]="Footwear"),"High","Low")</f>
        <v>Low</v>
      </c>
      <c r="O30" t="str">
        <f>TEXT(Table1[[#This Row],[Date]],"MMM-YY")</f>
        <v>Feb-25</v>
      </c>
      <c r="P30" s="10" t="str">
        <f>IF(Table1[[#This Row],[profit]]&gt;5000000,"High",IF(Table1[[#This Row],[profit]]&gt;3000000,"Medium","Low"))</f>
        <v>Low</v>
      </c>
      <c r="Q30" t="str">
        <f>IF(OR(Table1[[#This Row],[Status]]="Completed",Table1[[#This Row],[Status]]="Pending"),"Paid","no paid")</f>
        <v>Paid</v>
      </c>
    </row>
    <row r="31" spans="1:17" x14ac:dyDescent="0.25">
      <c r="A31" t="s">
        <v>82</v>
      </c>
      <c r="B31" s="1">
        <v>45698</v>
      </c>
      <c r="C31" t="s">
        <v>59</v>
      </c>
      <c r="D31" t="s">
        <v>60</v>
      </c>
      <c r="E31">
        <v>5000</v>
      </c>
      <c r="F31">
        <v>16</v>
      </c>
      <c r="G31">
        <f>Table1[[#This Row],[Price]]*Table1[[#This Row],[Quantity]]</f>
        <v>80000</v>
      </c>
      <c r="H31" t="s">
        <v>20</v>
      </c>
      <c r="I31" t="s">
        <v>29</v>
      </c>
      <c r="J31" t="s">
        <v>57</v>
      </c>
      <c r="K31" t="s">
        <v>22</v>
      </c>
      <c r="L31">
        <f>Table1[[#This Row],[Total Sales]]*Table1[[#This Row],[Quantity]]</f>
        <v>1280000</v>
      </c>
      <c r="N31" t="str">
        <f>IF(AND(Table1[[#This Row],[Price]]&gt;50,Table1[[#This Row],[Category]]="Footwear"),"High","Low")</f>
        <v>Low</v>
      </c>
      <c r="O31" t="str">
        <f>TEXT(Table1[[#This Row],[Date]],"MMM-YY")</f>
        <v>Feb-25</v>
      </c>
      <c r="P31" s="10" t="str">
        <f>IF(Table1[[#This Row],[profit]]&gt;5000000,"High",IF(Table1[[#This Row],[profit]]&gt;3000000,"Medium","Low"))</f>
        <v>Low</v>
      </c>
      <c r="Q31" t="str">
        <f>IF(OR(Table1[[#This Row],[Status]]="Completed",Table1[[#This Row],[Status]]="Pending"),"Paid","no paid")</f>
        <v>Paid</v>
      </c>
    </row>
    <row r="32" spans="1:17" x14ac:dyDescent="0.25">
      <c r="A32" t="s">
        <v>83</v>
      </c>
      <c r="B32" s="1">
        <v>45740</v>
      </c>
      <c r="C32" t="s">
        <v>41</v>
      </c>
      <c r="D32" t="s">
        <v>19</v>
      </c>
      <c r="E32">
        <v>2000</v>
      </c>
      <c r="F32">
        <v>12</v>
      </c>
      <c r="G32">
        <f>Table1[[#This Row],[Price]]*Table1[[#This Row],[Quantity]]</f>
        <v>24000</v>
      </c>
      <c r="H32" t="s">
        <v>24</v>
      </c>
      <c r="I32" t="s">
        <v>37</v>
      </c>
      <c r="J32" t="s">
        <v>57</v>
      </c>
      <c r="K32" t="s">
        <v>22</v>
      </c>
      <c r="L32">
        <f>Table1[[#This Row],[Total Sales]]*Table1[[#This Row],[Quantity]]</f>
        <v>288000</v>
      </c>
      <c r="N32" t="str">
        <f>IF(AND(Table1[[#This Row],[Price]]&gt;50,Table1[[#This Row],[Category]]="Footwear"),"High","Low")</f>
        <v>Low</v>
      </c>
      <c r="O32" t="str">
        <f>TEXT(Table1[[#This Row],[Date]],"MMM-YY")</f>
        <v>Mar-25</v>
      </c>
      <c r="P32" s="10" t="str">
        <f>IF(Table1[[#This Row],[profit]]&gt;5000000,"High",IF(Table1[[#This Row],[profit]]&gt;3000000,"Medium","Low"))</f>
        <v>Low</v>
      </c>
      <c r="Q32" t="str">
        <f>IF(OR(Table1[[#This Row],[Status]]="Completed",Table1[[#This Row],[Status]]="Pending"),"Paid","no paid")</f>
        <v>Paid</v>
      </c>
    </row>
    <row r="33" spans="1:17" x14ac:dyDescent="0.25">
      <c r="A33" t="s">
        <v>84</v>
      </c>
      <c r="B33" s="1">
        <v>45726</v>
      </c>
      <c r="C33" t="s">
        <v>41</v>
      </c>
      <c r="D33" t="s">
        <v>19</v>
      </c>
      <c r="E33">
        <v>2000</v>
      </c>
      <c r="F33">
        <v>31</v>
      </c>
      <c r="G33">
        <f>Table1[[#This Row],[Price]]*Table1[[#This Row],[Quantity]]</f>
        <v>62000</v>
      </c>
      <c r="H33" t="s">
        <v>53</v>
      </c>
      <c r="I33" t="s">
        <v>62</v>
      </c>
      <c r="J33" t="s">
        <v>38</v>
      </c>
      <c r="K33" t="s">
        <v>39</v>
      </c>
      <c r="L33">
        <f>Table1[[#This Row],[Total Sales]]*Table1[[#This Row],[Quantity]]</f>
        <v>1922000</v>
      </c>
      <c r="N33" t="str">
        <f>IF(AND(Table1[[#This Row],[Price]]&gt;50,Table1[[#This Row],[Category]]="Footwear"),"High","Low")</f>
        <v>Low</v>
      </c>
      <c r="O33" t="str">
        <f>TEXT(Table1[[#This Row],[Date]],"MMM-YY")</f>
        <v>Mar-25</v>
      </c>
      <c r="P33" s="10" t="str">
        <f>IF(Table1[[#This Row],[profit]]&gt;5000000,"High",IF(Table1[[#This Row],[profit]]&gt;3000000,"Medium","Low"))</f>
        <v>Low</v>
      </c>
      <c r="Q33" t="str">
        <f>IF(OR(Table1[[#This Row],[Status]]="Completed",Table1[[#This Row],[Status]]="Pending"),"Paid","no paid")</f>
        <v>Paid</v>
      </c>
    </row>
    <row r="34" spans="1:17" x14ac:dyDescent="0.25">
      <c r="A34" t="s">
        <v>85</v>
      </c>
      <c r="B34" s="1">
        <v>45692</v>
      </c>
      <c r="C34" t="s">
        <v>48</v>
      </c>
      <c r="D34" t="s">
        <v>49</v>
      </c>
      <c r="E34">
        <v>1000</v>
      </c>
      <c r="F34">
        <v>40</v>
      </c>
      <c r="G34">
        <f>Table1[[#This Row],[Price]]*Table1[[#This Row],[Quantity]]</f>
        <v>40000</v>
      </c>
      <c r="H34" t="s">
        <v>28</v>
      </c>
      <c r="I34" t="s">
        <v>15</v>
      </c>
      <c r="J34" t="s">
        <v>16</v>
      </c>
      <c r="K34" t="s">
        <v>22</v>
      </c>
      <c r="L34">
        <f>Table1[[#This Row],[Total Sales]]*Table1[[#This Row],[Quantity]]</f>
        <v>1600000</v>
      </c>
      <c r="N34" t="str">
        <f>IF(AND(Table1[[#This Row],[Price]]&gt;50,Table1[[#This Row],[Category]]="Footwear"),"High","Low")</f>
        <v>Low</v>
      </c>
      <c r="O34" t="str">
        <f>TEXT(Table1[[#This Row],[Date]],"MMM-YY")</f>
        <v>Feb-25</v>
      </c>
      <c r="P34" s="10" t="str">
        <f>IF(Table1[[#This Row],[profit]]&gt;5000000,"High",IF(Table1[[#This Row],[profit]]&gt;3000000,"Medium","Low"))</f>
        <v>Low</v>
      </c>
      <c r="Q34" t="str">
        <f>IF(OR(Table1[[#This Row],[Status]]="Completed",Table1[[#This Row],[Status]]="Pending"),"Paid","no paid")</f>
        <v>Paid</v>
      </c>
    </row>
    <row r="35" spans="1:17" x14ac:dyDescent="0.25">
      <c r="A35" t="s">
        <v>86</v>
      </c>
      <c r="B35" s="1">
        <v>45749</v>
      </c>
      <c r="C35" t="s">
        <v>34</v>
      </c>
      <c r="D35" t="s">
        <v>35</v>
      </c>
      <c r="E35">
        <v>500</v>
      </c>
      <c r="F35">
        <v>63</v>
      </c>
      <c r="G35">
        <f>Table1[[#This Row],[Price]]*Table1[[#This Row],[Quantity]]</f>
        <v>31500</v>
      </c>
      <c r="H35" t="s">
        <v>79</v>
      </c>
      <c r="I35" t="s">
        <v>15</v>
      </c>
      <c r="J35" t="s">
        <v>30</v>
      </c>
      <c r="K35" t="s">
        <v>22</v>
      </c>
      <c r="L35">
        <f>Table1[[#This Row],[Total Sales]]*Table1[[#This Row],[Quantity]]</f>
        <v>1984500</v>
      </c>
      <c r="N35" t="str">
        <f>IF(AND(Table1[[#This Row],[Price]]&gt;50,Table1[[#This Row],[Category]]="Footwear"),"High","Low")</f>
        <v>Low</v>
      </c>
      <c r="O35" t="str">
        <f>TEXT(Table1[[#This Row],[Date]],"MMM-YY")</f>
        <v>Apr-25</v>
      </c>
      <c r="P35" s="10" t="str">
        <f>IF(Table1[[#This Row],[profit]]&gt;5000000,"High",IF(Table1[[#This Row],[profit]]&gt;3000000,"Medium","Low"))</f>
        <v>Low</v>
      </c>
      <c r="Q35" t="str">
        <f>IF(OR(Table1[[#This Row],[Status]]="Completed",Table1[[#This Row],[Status]]="Pending"),"Paid","no paid")</f>
        <v>Paid</v>
      </c>
    </row>
    <row r="36" spans="1:17" x14ac:dyDescent="0.25">
      <c r="A36" t="s">
        <v>87</v>
      </c>
      <c r="B36" s="1">
        <v>45749</v>
      </c>
      <c r="C36" t="s">
        <v>55</v>
      </c>
      <c r="D36" t="s">
        <v>19</v>
      </c>
      <c r="E36">
        <v>2000</v>
      </c>
      <c r="F36">
        <v>35</v>
      </c>
      <c r="G36">
        <f>Table1[[#This Row],[Price]]*Table1[[#This Row],[Quantity]]</f>
        <v>70000</v>
      </c>
      <c r="H36" t="s">
        <v>14</v>
      </c>
      <c r="I36" t="s">
        <v>25</v>
      </c>
      <c r="J36" t="s">
        <v>26</v>
      </c>
      <c r="K36" t="s">
        <v>39</v>
      </c>
      <c r="L36">
        <f>Table1[[#This Row],[Total Sales]]*Table1[[#This Row],[Quantity]]</f>
        <v>2450000</v>
      </c>
      <c r="N36" t="str">
        <f>IF(AND(Table1[[#This Row],[Price]]&gt;50,Table1[[#This Row],[Category]]="Footwear"),"High","Low")</f>
        <v>Low</v>
      </c>
      <c r="O36" t="str">
        <f>TEXT(Table1[[#This Row],[Date]],"MMM-YY")</f>
        <v>Apr-25</v>
      </c>
      <c r="P36" s="10" t="str">
        <f>IF(Table1[[#This Row],[profit]]&gt;5000000,"High",IF(Table1[[#This Row],[profit]]&gt;3000000,"Medium","Low"))</f>
        <v>Low</v>
      </c>
      <c r="Q36" t="str">
        <f>IF(OR(Table1[[#This Row],[Status]]="Completed",Table1[[#This Row],[Status]]="Pending"),"Paid","no paid")</f>
        <v>Paid</v>
      </c>
    </row>
    <row r="37" spans="1:17" x14ac:dyDescent="0.25">
      <c r="A37" t="s">
        <v>88</v>
      </c>
      <c r="B37" s="1">
        <v>45697</v>
      </c>
      <c r="C37" t="s">
        <v>64</v>
      </c>
      <c r="D37" t="s">
        <v>60</v>
      </c>
      <c r="E37">
        <v>3000</v>
      </c>
      <c r="F37">
        <v>44</v>
      </c>
      <c r="G37">
        <f>Table1[[#This Row],[Price]]*Table1[[#This Row],[Quantity]]</f>
        <v>132000</v>
      </c>
      <c r="H37" t="s">
        <v>42</v>
      </c>
      <c r="I37" t="s">
        <v>45</v>
      </c>
      <c r="J37" t="s">
        <v>38</v>
      </c>
      <c r="K37" t="s">
        <v>22</v>
      </c>
      <c r="L37">
        <f>Table1[[#This Row],[Total Sales]]*Table1[[#This Row],[Quantity]]</f>
        <v>5808000</v>
      </c>
      <c r="N37" t="str">
        <f>IF(AND(Table1[[#This Row],[Price]]&gt;50,Table1[[#This Row],[Category]]="Footwear"),"High","Low")</f>
        <v>Low</v>
      </c>
      <c r="O37" t="str">
        <f>TEXT(Table1[[#This Row],[Date]],"MMM-YY")</f>
        <v>Feb-25</v>
      </c>
      <c r="P37" s="10" t="str">
        <f>IF(Table1[[#This Row],[profit]]&gt;5000000,"High",IF(Table1[[#This Row],[profit]]&gt;3000000,"Medium","Low"))</f>
        <v>High</v>
      </c>
      <c r="Q37" t="str">
        <f>IF(OR(Table1[[#This Row],[Status]]="Completed",Table1[[#This Row],[Status]]="Pending"),"Paid","no paid")</f>
        <v>Paid</v>
      </c>
    </row>
    <row r="38" spans="1:17" x14ac:dyDescent="0.25">
      <c r="A38" t="s">
        <v>89</v>
      </c>
      <c r="B38" s="1">
        <v>45704</v>
      </c>
      <c r="C38" t="s">
        <v>18</v>
      </c>
      <c r="D38" t="s">
        <v>19</v>
      </c>
      <c r="E38">
        <v>5000</v>
      </c>
      <c r="F38">
        <v>22</v>
      </c>
      <c r="G38">
        <f>Table1[[#This Row],[Price]]*Table1[[#This Row],[Quantity]]</f>
        <v>110000</v>
      </c>
      <c r="H38" t="s">
        <v>53</v>
      </c>
      <c r="I38" t="s">
        <v>15</v>
      </c>
      <c r="J38" t="s">
        <v>16</v>
      </c>
      <c r="K38" t="s">
        <v>22</v>
      </c>
      <c r="L38">
        <f>Table1[[#This Row],[Total Sales]]*Table1[[#This Row],[Quantity]]</f>
        <v>2420000</v>
      </c>
      <c r="N38" t="str">
        <f>IF(AND(Table1[[#This Row],[Price]]&gt;50,Table1[[#This Row],[Category]]="Footwear"),"High","Low")</f>
        <v>Low</v>
      </c>
      <c r="O38" t="str">
        <f>TEXT(Table1[[#This Row],[Date]],"MMM-YY")</f>
        <v>Feb-25</v>
      </c>
      <c r="P38" s="10" t="str">
        <f>IF(Table1[[#This Row],[profit]]&gt;5000000,"High",IF(Table1[[#This Row],[profit]]&gt;3000000,"Medium","Low"))</f>
        <v>Low</v>
      </c>
      <c r="Q38" t="str">
        <f>IF(OR(Table1[[#This Row],[Status]]="Completed",Table1[[#This Row],[Status]]="Pending"),"Paid","no paid")</f>
        <v>Paid</v>
      </c>
    </row>
    <row r="39" spans="1:17" x14ac:dyDescent="0.25">
      <c r="A39" t="s">
        <v>90</v>
      </c>
      <c r="B39" s="1">
        <v>45742</v>
      </c>
      <c r="C39" t="s">
        <v>55</v>
      </c>
      <c r="D39" t="s">
        <v>19</v>
      </c>
      <c r="E39">
        <v>2000</v>
      </c>
      <c r="F39">
        <v>16</v>
      </c>
      <c r="G39">
        <f>Table1[[#This Row],[Price]]*Table1[[#This Row],[Quantity]]</f>
        <v>32000</v>
      </c>
      <c r="H39" t="s">
        <v>28</v>
      </c>
      <c r="I39" t="s">
        <v>80</v>
      </c>
      <c r="J39" t="s">
        <v>26</v>
      </c>
      <c r="K39" t="s">
        <v>39</v>
      </c>
      <c r="L39">
        <f>Table1[[#This Row],[Total Sales]]*Table1[[#This Row],[Quantity]]</f>
        <v>512000</v>
      </c>
      <c r="N39" t="str">
        <f>IF(AND(Table1[[#This Row],[Price]]&gt;50,Table1[[#This Row],[Category]]="Footwear"),"High","Low")</f>
        <v>Low</v>
      </c>
      <c r="O39" t="str">
        <f>TEXT(Table1[[#This Row],[Date]],"MMM-YY")</f>
        <v>Mar-25</v>
      </c>
      <c r="P39" s="10" t="str">
        <f>IF(Table1[[#This Row],[profit]]&gt;5000000,"High",IF(Table1[[#This Row],[profit]]&gt;3000000,"Medium","Low"))</f>
        <v>Low</v>
      </c>
      <c r="Q39" t="str">
        <f>IF(OR(Table1[[#This Row],[Status]]="Completed",Table1[[#This Row],[Status]]="Pending"),"Paid","no paid")</f>
        <v>Paid</v>
      </c>
    </row>
    <row r="40" spans="1:17" x14ac:dyDescent="0.25">
      <c r="A40" t="s">
        <v>91</v>
      </c>
      <c r="B40" s="1">
        <v>45718</v>
      </c>
      <c r="C40" t="s">
        <v>55</v>
      </c>
      <c r="D40" t="s">
        <v>19</v>
      </c>
      <c r="E40">
        <v>2000</v>
      </c>
      <c r="F40">
        <v>12</v>
      </c>
      <c r="G40">
        <f>Table1[[#This Row],[Price]]*Table1[[#This Row],[Quantity]]</f>
        <v>24000</v>
      </c>
      <c r="H40" t="s">
        <v>28</v>
      </c>
      <c r="I40" t="s">
        <v>21</v>
      </c>
      <c r="J40" t="s">
        <v>38</v>
      </c>
      <c r="K40" t="s">
        <v>39</v>
      </c>
      <c r="L40">
        <f>Table1[[#This Row],[Total Sales]]*Table1[[#This Row],[Quantity]]</f>
        <v>288000</v>
      </c>
      <c r="N40" t="str">
        <f>IF(AND(Table1[[#This Row],[Price]]&gt;50,Table1[[#This Row],[Category]]="Footwear"),"High","Low")</f>
        <v>Low</v>
      </c>
      <c r="O40" t="str">
        <f>TEXT(Table1[[#This Row],[Date]],"MMM-YY")</f>
        <v>Mar-25</v>
      </c>
      <c r="P40" s="10" t="str">
        <f>IF(Table1[[#This Row],[profit]]&gt;5000000,"High",IF(Table1[[#This Row],[profit]]&gt;3000000,"Medium","Low"))</f>
        <v>Low</v>
      </c>
      <c r="Q40" t="str">
        <f>IF(OR(Table1[[#This Row],[Status]]="Completed",Table1[[#This Row],[Status]]="Pending"),"Paid","no paid")</f>
        <v>Paid</v>
      </c>
    </row>
    <row r="41" spans="1:17" x14ac:dyDescent="0.25">
      <c r="A41" t="s">
        <v>92</v>
      </c>
      <c r="B41" s="1">
        <v>45742</v>
      </c>
      <c r="C41" t="s">
        <v>32</v>
      </c>
      <c r="D41" t="s">
        <v>19</v>
      </c>
      <c r="E41">
        <v>1000</v>
      </c>
      <c r="F41">
        <v>22</v>
      </c>
      <c r="G41">
        <f>Table1[[#This Row],[Price]]*Table1[[#This Row],[Quantity]]</f>
        <v>22000</v>
      </c>
      <c r="H41" t="s">
        <v>20</v>
      </c>
      <c r="I41" t="s">
        <v>62</v>
      </c>
      <c r="J41" t="s">
        <v>57</v>
      </c>
      <c r="K41" t="s">
        <v>22</v>
      </c>
      <c r="L41">
        <f>Table1[[#This Row],[Total Sales]]*Table1[[#This Row],[Quantity]]</f>
        <v>484000</v>
      </c>
      <c r="N41" t="str">
        <f>IF(AND(Table1[[#This Row],[Price]]&gt;50,Table1[[#This Row],[Category]]="Footwear"),"High","Low")</f>
        <v>Low</v>
      </c>
      <c r="O41" t="str">
        <f>TEXT(Table1[[#This Row],[Date]],"MMM-YY")</f>
        <v>Mar-25</v>
      </c>
      <c r="P41" s="10" t="str">
        <f>IF(Table1[[#This Row],[profit]]&gt;5000000,"High",IF(Table1[[#This Row],[profit]]&gt;3000000,"Medium","Low"))</f>
        <v>Low</v>
      </c>
      <c r="Q41" t="str">
        <f>IF(OR(Table1[[#This Row],[Status]]="Completed",Table1[[#This Row],[Status]]="Pending"),"Paid","no paid")</f>
        <v>Paid</v>
      </c>
    </row>
    <row r="42" spans="1:17" x14ac:dyDescent="0.25">
      <c r="A42" t="s">
        <v>93</v>
      </c>
      <c r="B42" s="1">
        <v>45708</v>
      </c>
      <c r="C42" t="s">
        <v>48</v>
      </c>
      <c r="D42" t="s">
        <v>49</v>
      </c>
      <c r="E42">
        <v>500</v>
      </c>
      <c r="F42">
        <v>16</v>
      </c>
      <c r="G42">
        <f>Table1[[#This Row],[Price]]*Table1[[#This Row],[Quantity]]</f>
        <v>8000</v>
      </c>
      <c r="H42" t="s">
        <v>79</v>
      </c>
      <c r="I42" t="s">
        <v>43</v>
      </c>
      <c r="J42" t="s">
        <v>30</v>
      </c>
      <c r="K42" t="s">
        <v>39</v>
      </c>
      <c r="L42">
        <f>Table1[[#This Row],[Total Sales]]*Table1[[#This Row],[Quantity]]</f>
        <v>128000</v>
      </c>
      <c r="N42" t="str">
        <f>IF(AND(Table1[[#This Row],[Price]]&gt;50,Table1[[#This Row],[Category]]="Footwear"),"High","Low")</f>
        <v>Low</v>
      </c>
      <c r="O42" t="str">
        <f>TEXT(Table1[[#This Row],[Date]],"MMM-YY")</f>
        <v>Feb-25</v>
      </c>
      <c r="P42" s="10" t="str">
        <f>IF(Table1[[#This Row],[profit]]&gt;5000000,"High",IF(Table1[[#This Row],[profit]]&gt;3000000,"Medium","Low"))</f>
        <v>Low</v>
      </c>
      <c r="Q42" t="str">
        <f>IF(OR(Table1[[#This Row],[Status]]="Completed",Table1[[#This Row],[Status]]="Pending"),"Paid","no paid")</f>
        <v>Paid</v>
      </c>
    </row>
    <row r="43" spans="1:17" x14ac:dyDescent="0.25">
      <c r="A43" t="s">
        <v>94</v>
      </c>
      <c r="B43" s="1">
        <v>45733</v>
      </c>
      <c r="C43" t="s">
        <v>18</v>
      </c>
      <c r="D43" t="s">
        <v>19</v>
      </c>
      <c r="E43">
        <v>2000</v>
      </c>
      <c r="F43">
        <v>12</v>
      </c>
      <c r="G43">
        <f>Table1[[#This Row],[Price]]*Table1[[#This Row],[Quantity]]</f>
        <v>24000</v>
      </c>
      <c r="H43" t="s">
        <v>79</v>
      </c>
      <c r="I43" t="s">
        <v>80</v>
      </c>
      <c r="J43" t="s">
        <v>26</v>
      </c>
      <c r="K43" t="s">
        <v>22</v>
      </c>
      <c r="L43">
        <f>Table1[[#This Row],[Total Sales]]*Table1[[#This Row],[Quantity]]</f>
        <v>288000</v>
      </c>
      <c r="N43" t="str">
        <f>IF(AND(Table1[[#This Row],[Price]]&gt;50,Table1[[#This Row],[Category]]="Footwear"),"High","Low")</f>
        <v>Low</v>
      </c>
      <c r="O43" t="str">
        <f>TEXT(Table1[[#This Row],[Date]],"MMM-YY")</f>
        <v>Mar-25</v>
      </c>
      <c r="P43" s="10" t="str">
        <f>IF(Table1[[#This Row],[profit]]&gt;5000000,"High",IF(Table1[[#This Row],[profit]]&gt;3000000,"Medium","Low"))</f>
        <v>Low</v>
      </c>
      <c r="Q43" t="str">
        <f>IF(OR(Table1[[#This Row],[Status]]="Completed",Table1[[#This Row],[Status]]="Pending"),"Paid","no paid")</f>
        <v>Paid</v>
      </c>
    </row>
    <row r="44" spans="1:17" x14ac:dyDescent="0.25">
      <c r="A44" t="s">
        <v>95</v>
      </c>
      <c r="B44" s="1">
        <v>45696</v>
      </c>
      <c r="C44" t="s">
        <v>34</v>
      </c>
      <c r="D44" t="s">
        <v>35</v>
      </c>
      <c r="E44">
        <v>3000</v>
      </c>
      <c r="F44">
        <v>31</v>
      </c>
      <c r="G44">
        <f>Table1[[#This Row],[Price]]*Table1[[#This Row],[Quantity]]</f>
        <v>93000</v>
      </c>
      <c r="H44" t="s">
        <v>79</v>
      </c>
      <c r="I44" t="s">
        <v>25</v>
      </c>
      <c r="J44" t="s">
        <v>30</v>
      </c>
      <c r="K44" t="s">
        <v>39</v>
      </c>
      <c r="L44">
        <f>Table1[[#This Row],[Total Sales]]*Table1[[#This Row],[Quantity]]</f>
        <v>2883000</v>
      </c>
      <c r="N44" t="str">
        <f>IF(AND(Table1[[#This Row],[Price]]&gt;50,Table1[[#This Row],[Category]]="Footwear"),"High","Low")</f>
        <v>Low</v>
      </c>
      <c r="O44" t="str">
        <f>TEXT(Table1[[#This Row],[Date]],"MMM-YY")</f>
        <v>Feb-25</v>
      </c>
      <c r="P44" s="10" t="str">
        <f>IF(Table1[[#This Row],[profit]]&gt;5000000,"High",IF(Table1[[#This Row],[profit]]&gt;3000000,"Medium","Low"))</f>
        <v>Low</v>
      </c>
      <c r="Q44" t="str">
        <f>IF(OR(Table1[[#This Row],[Status]]="Completed",Table1[[#This Row],[Status]]="Pending"),"Paid","no paid")</f>
        <v>Paid</v>
      </c>
    </row>
    <row r="45" spans="1:17" x14ac:dyDescent="0.25">
      <c r="A45" t="s">
        <v>96</v>
      </c>
      <c r="B45" s="1">
        <v>45740</v>
      </c>
      <c r="C45" t="s">
        <v>32</v>
      </c>
      <c r="D45" t="s">
        <v>19</v>
      </c>
      <c r="E45">
        <v>5000</v>
      </c>
      <c r="F45">
        <v>40</v>
      </c>
      <c r="G45">
        <f>Table1[[#This Row],[Price]]*Table1[[#This Row],[Quantity]]</f>
        <v>200000</v>
      </c>
      <c r="H45" t="s">
        <v>71</v>
      </c>
      <c r="I45" t="s">
        <v>37</v>
      </c>
      <c r="J45" t="s">
        <v>16</v>
      </c>
      <c r="K45" t="s">
        <v>22</v>
      </c>
      <c r="L45">
        <f>Table1[[#This Row],[Total Sales]]*Table1[[#This Row],[Quantity]]</f>
        <v>8000000</v>
      </c>
      <c r="N45" t="str">
        <f>IF(AND(Table1[[#This Row],[Price]]&gt;50,Table1[[#This Row],[Category]]="Footwear"),"High","Low")</f>
        <v>Low</v>
      </c>
      <c r="O45" t="str">
        <f>TEXT(Table1[[#This Row],[Date]],"MMM-YY")</f>
        <v>Mar-25</v>
      </c>
      <c r="P45" s="10" t="str">
        <f>IF(Table1[[#This Row],[profit]]&gt;5000000,"High",IF(Table1[[#This Row],[profit]]&gt;3000000,"Medium","Low"))</f>
        <v>High</v>
      </c>
      <c r="Q45" t="str">
        <f>IF(OR(Table1[[#This Row],[Status]]="Completed",Table1[[#This Row],[Status]]="Pending"),"Paid","no paid")</f>
        <v>Paid</v>
      </c>
    </row>
    <row r="46" spans="1:17" x14ac:dyDescent="0.25">
      <c r="A46" t="s">
        <v>97</v>
      </c>
      <c r="B46" s="1">
        <v>45731</v>
      </c>
      <c r="C46" t="s">
        <v>64</v>
      </c>
      <c r="D46" t="s">
        <v>60</v>
      </c>
      <c r="E46">
        <v>2000</v>
      </c>
      <c r="F46">
        <v>33</v>
      </c>
      <c r="G46">
        <f>Table1[[#This Row],[Price]]*Table1[[#This Row],[Quantity]]</f>
        <v>66000</v>
      </c>
      <c r="H46" t="s">
        <v>56</v>
      </c>
      <c r="I46" t="s">
        <v>15</v>
      </c>
      <c r="J46" t="s">
        <v>30</v>
      </c>
      <c r="K46" t="s">
        <v>22</v>
      </c>
      <c r="L46">
        <f>Table1[[#This Row],[Total Sales]]*Table1[[#This Row],[Quantity]]</f>
        <v>2178000</v>
      </c>
      <c r="N46" t="str">
        <f>IF(AND(Table1[[#This Row],[Price]]&gt;50,Table1[[#This Row],[Category]]="Footwear"),"High","Low")</f>
        <v>Low</v>
      </c>
      <c r="O46" t="str">
        <f>TEXT(Table1[[#This Row],[Date]],"MMM-YY")</f>
        <v>Mar-25</v>
      </c>
      <c r="P46" s="10" t="str">
        <f>IF(Table1[[#This Row],[profit]]&gt;5000000,"High",IF(Table1[[#This Row],[profit]]&gt;3000000,"Medium","Low"))</f>
        <v>Low</v>
      </c>
      <c r="Q46" t="str">
        <f>IF(OR(Table1[[#This Row],[Status]]="Completed",Table1[[#This Row],[Status]]="Pending"),"Paid","no paid")</f>
        <v>Paid</v>
      </c>
    </row>
    <row r="47" spans="1:17" x14ac:dyDescent="0.25">
      <c r="A47" t="s">
        <v>98</v>
      </c>
      <c r="B47" s="1">
        <v>45722</v>
      </c>
      <c r="C47" t="s">
        <v>12</v>
      </c>
      <c r="D47" t="s">
        <v>13</v>
      </c>
      <c r="E47">
        <v>2000</v>
      </c>
      <c r="F47">
        <v>54</v>
      </c>
      <c r="G47">
        <f>Table1[[#This Row],[Price]]*Table1[[#This Row],[Quantity]]</f>
        <v>108000</v>
      </c>
      <c r="H47" t="s">
        <v>50</v>
      </c>
      <c r="I47" t="s">
        <v>37</v>
      </c>
      <c r="J47" t="s">
        <v>16</v>
      </c>
      <c r="K47" t="s">
        <v>22</v>
      </c>
      <c r="L47">
        <f>Table1[[#This Row],[Total Sales]]*Table1[[#This Row],[Quantity]]</f>
        <v>5832000</v>
      </c>
      <c r="N47" t="str">
        <f>IF(AND(Table1[[#This Row],[Price]]&gt;50,Table1[[#This Row],[Category]]="Footwear"),"High","Low")</f>
        <v>High</v>
      </c>
      <c r="O47" t="str">
        <f>TEXT(Table1[[#This Row],[Date]],"MMM-YY")</f>
        <v>Mar-25</v>
      </c>
      <c r="P47" s="10" t="str">
        <f>IF(Table1[[#This Row],[profit]]&gt;5000000,"High",IF(Table1[[#This Row],[profit]]&gt;3000000,"Medium","Low"))</f>
        <v>High</v>
      </c>
      <c r="Q47" t="str">
        <f>IF(OR(Table1[[#This Row],[Status]]="Completed",Table1[[#This Row],[Status]]="Pending"),"Paid","no paid")</f>
        <v>Paid</v>
      </c>
    </row>
    <row r="48" spans="1:17" x14ac:dyDescent="0.25">
      <c r="A48" t="s">
        <v>99</v>
      </c>
      <c r="B48" s="1">
        <v>45742</v>
      </c>
      <c r="C48" t="s">
        <v>34</v>
      </c>
      <c r="D48" t="s">
        <v>35</v>
      </c>
      <c r="E48">
        <v>1000</v>
      </c>
      <c r="F48">
        <v>56</v>
      </c>
      <c r="G48">
        <f>Table1[[#This Row],[Price]]*Table1[[#This Row],[Quantity]]</f>
        <v>56000</v>
      </c>
      <c r="H48" t="s">
        <v>71</v>
      </c>
      <c r="I48" t="s">
        <v>43</v>
      </c>
      <c r="J48" t="s">
        <v>57</v>
      </c>
      <c r="K48" t="s">
        <v>39</v>
      </c>
      <c r="L48">
        <f>Table1[[#This Row],[Total Sales]]*Table1[[#This Row],[Quantity]]</f>
        <v>3136000</v>
      </c>
      <c r="N48" t="str">
        <f>IF(AND(Table1[[#This Row],[Price]]&gt;50,Table1[[#This Row],[Category]]="Footwear"),"High","Low")</f>
        <v>Low</v>
      </c>
      <c r="O48" t="str">
        <f>TEXT(Table1[[#This Row],[Date]],"MMM-YY")</f>
        <v>Mar-25</v>
      </c>
      <c r="P48" s="10" t="str">
        <f>IF(Table1[[#This Row],[profit]]&gt;5000000,"High",IF(Table1[[#This Row],[profit]]&gt;3000000,"Medium","Low"))</f>
        <v>Medium</v>
      </c>
      <c r="Q48" t="str">
        <f>IF(OR(Table1[[#This Row],[Status]]="Completed",Table1[[#This Row],[Status]]="Pending"),"Paid","no paid")</f>
        <v>Paid</v>
      </c>
    </row>
    <row r="49" spans="1:17" x14ac:dyDescent="0.25">
      <c r="A49" t="s">
        <v>100</v>
      </c>
      <c r="B49" s="1">
        <v>45699</v>
      </c>
      <c r="C49" t="s">
        <v>34</v>
      </c>
      <c r="D49" t="s">
        <v>35</v>
      </c>
      <c r="E49">
        <v>500</v>
      </c>
      <c r="F49">
        <v>72</v>
      </c>
      <c r="G49">
        <f>Table1[[#This Row],[Price]]*Table1[[#This Row],[Quantity]]</f>
        <v>36000</v>
      </c>
      <c r="H49" t="s">
        <v>79</v>
      </c>
      <c r="I49" t="s">
        <v>25</v>
      </c>
      <c r="J49" t="s">
        <v>26</v>
      </c>
      <c r="K49" t="s">
        <v>39</v>
      </c>
      <c r="L49">
        <f>Table1[[#This Row],[Total Sales]]*Table1[[#This Row],[Quantity]]</f>
        <v>2592000</v>
      </c>
      <c r="N49" t="str">
        <f>IF(AND(Table1[[#This Row],[Price]]&gt;50,Table1[[#This Row],[Category]]="Footwear"),"High","Low")</f>
        <v>Low</v>
      </c>
      <c r="O49" t="str">
        <f>TEXT(Table1[[#This Row],[Date]],"MMM-YY")</f>
        <v>Feb-25</v>
      </c>
      <c r="P49" s="10" t="str">
        <f>IF(Table1[[#This Row],[profit]]&gt;5000000,"High",IF(Table1[[#This Row],[profit]]&gt;3000000,"Medium","Low"))</f>
        <v>Low</v>
      </c>
      <c r="Q49" t="str">
        <f>IF(OR(Table1[[#This Row],[Status]]="Completed",Table1[[#This Row],[Status]]="Pending"),"Paid","no paid")</f>
        <v>Paid</v>
      </c>
    </row>
    <row r="50" spans="1:17" x14ac:dyDescent="0.25">
      <c r="A50" t="s">
        <v>101</v>
      </c>
      <c r="B50" s="1">
        <v>45706</v>
      </c>
      <c r="C50" t="s">
        <v>41</v>
      </c>
      <c r="D50" t="s">
        <v>19</v>
      </c>
      <c r="E50">
        <v>2000</v>
      </c>
      <c r="F50">
        <v>12</v>
      </c>
      <c r="G50">
        <f>Table1[[#This Row],[Price]]*Table1[[#This Row],[Quantity]]</f>
        <v>24000</v>
      </c>
      <c r="H50" t="s">
        <v>14</v>
      </c>
      <c r="I50" t="s">
        <v>80</v>
      </c>
      <c r="J50" t="s">
        <v>16</v>
      </c>
      <c r="K50" t="s">
        <v>39</v>
      </c>
      <c r="L50">
        <f>Table1[[#This Row],[Total Sales]]*Table1[[#This Row],[Quantity]]</f>
        <v>288000</v>
      </c>
      <c r="N50" t="str">
        <f>IF(AND(Table1[[#This Row],[Price]]&gt;50,Table1[[#This Row],[Category]]="Footwear"),"High","Low")</f>
        <v>Low</v>
      </c>
      <c r="O50" t="str">
        <f>TEXT(Table1[[#This Row],[Date]],"MMM-YY")</f>
        <v>Feb-25</v>
      </c>
      <c r="P50" s="10" t="str">
        <f>IF(Table1[[#This Row],[profit]]&gt;5000000,"High",IF(Table1[[#This Row],[profit]]&gt;3000000,"Medium","Low"))</f>
        <v>Low</v>
      </c>
      <c r="Q50" t="str">
        <f>IF(OR(Table1[[#This Row],[Status]]="Completed",Table1[[#This Row],[Status]]="Pending"),"Paid","no paid")</f>
        <v>Paid</v>
      </c>
    </row>
    <row r="51" spans="1:17" x14ac:dyDescent="0.25">
      <c r="A51" t="s">
        <v>102</v>
      </c>
      <c r="B51" s="1">
        <v>45730</v>
      </c>
      <c r="C51" t="s">
        <v>52</v>
      </c>
      <c r="D51" t="s">
        <v>35</v>
      </c>
      <c r="E51">
        <v>3000</v>
      </c>
      <c r="F51">
        <v>45</v>
      </c>
      <c r="G51">
        <f>Table1[[#This Row],[Price]]*Table1[[#This Row],[Quantity]]</f>
        <v>135000</v>
      </c>
      <c r="H51" t="s">
        <v>24</v>
      </c>
      <c r="I51" t="s">
        <v>45</v>
      </c>
      <c r="J51" t="s">
        <v>57</v>
      </c>
      <c r="K51" t="s">
        <v>22</v>
      </c>
      <c r="L51">
        <f>Table1[[#This Row],[Total Sales]]*Table1[[#This Row],[Quantity]]</f>
        <v>6075000</v>
      </c>
      <c r="N51" t="str">
        <f>IF(AND(Table1[[#This Row],[Price]]&gt;50,Table1[[#This Row],[Category]]="Footwear"),"High","Low")</f>
        <v>Low</v>
      </c>
      <c r="O51" t="str">
        <f>TEXT(Table1[[#This Row],[Date]],"MMM-YY")</f>
        <v>Mar-25</v>
      </c>
      <c r="P51" s="10" t="str">
        <f>IF(Table1[[#This Row],[profit]]&gt;5000000,"High",IF(Table1[[#This Row],[profit]]&gt;3000000,"Medium","Low"))</f>
        <v>High</v>
      </c>
      <c r="Q51" t="str">
        <f>IF(OR(Table1[[#This Row],[Status]]="Completed",Table1[[#This Row],[Status]]="Pending"),"Paid","no paid")</f>
        <v>Paid</v>
      </c>
    </row>
    <row r="52" spans="1:17" x14ac:dyDescent="0.25">
      <c r="A52" t="s">
        <v>103</v>
      </c>
      <c r="B52" s="1">
        <v>45707</v>
      </c>
      <c r="C52" t="s">
        <v>48</v>
      </c>
      <c r="D52" t="s">
        <v>49</v>
      </c>
      <c r="E52">
        <v>5000</v>
      </c>
      <c r="F52">
        <v>67</v>
      </c>
      <c r="G52">
        <f>Table1[[#This Row],[Price]]*Table1[[#This Row],[Quantity]]</f>
        <v>335000</v>
      </c>
      <c r="H52" t="s">
        <v>14</v>
      </c>
      <c r="I52" t="s">
        <v>37</v>
      </c>
      <c r="J52" t="s">
        <v>57</v>
      </c>
      <c r="K52" t="s">
        <v>22</v>
      </c>
      <c r="L52">
        <f>Table1[[#This Row],[Total Sales]]*Table1[[#This Row],[Quantity]]</f>
        <v>22445000</v>
      </c>
      <c r="N52" t="str">
        <f>IF(AND(Table1[[#This Row],[Price]]&gt;50,Table1[[#This Row],[Category]]="Footwear"),"High","Low")</f>
        <v>Low</v>
      </c>
      <c r="O52" t="str">
        <f>TEXT(Table1[[#This Row],[Date]],"MMM-YY")</f>
        <v>Feb-25</v>
      </c>
      <c r="P52" s="10" t="str">
        <f>IF(Table1[[#This Row],[profit]]&gt;5000000,"High",IF(Table1[[#This Row],[profit]]&gt;3000000,"Medium","Low"))</f>
        <v>High</v>
      </c>
      <c r="Q52" t="str">
        <f>IF(OR(Table1[[#This Row],[Status]]="Completed",Table1[[#This Row],[Status]]="Pending"),"Paid","no paid")</f>
        <v>Paid</v>
      </c>
    </row>
    <row r="53" spans="1:17" x14ac:dyDescent="0.25">
      <c r="A53" t="s">
        <v>104</v>
      </c>
      <c r="B53" s="1">
        <v>45712</v>
      </c>
      <c r="C53" t="s">
        <v>55</v>
      </c>
      <c r="D53" t="s">
        <v>19</v>
      </c>
      <c r="E53">
        <v>2000</v>
      </c>
      <c r="F53">
        <v>23</v>
      </c>
      <c r="G53">
        <f>Table1[[#This Row],[Price]]*Table1[[#This Row],[Quantity]]</f>
        <v>46000</v>
      </c>
      <c r="H53" t="s">
        <v>24</v>
      </c>
      <c r="I53" t="s">
        <v>21</v>
      </c>
      <c r="J53" t="s">
        <v>30</v>
      </c>
      <c r="K53" t="s">
        <v>39</v>
      </c>
      <c r="L53">
        <f>Table1[[#This Row],[Total Sales]]*Table1[[#This Row],[Quantity]]</f>
        <v>1058000</v>
      </c>
      <c r="N53" t="str">
        <f>IF(AND(Table1[[#This Row],[Price]]&gt;50,Table1[[#This Row],[Category]]="Footwear"),"High","Low")</f>
        <v>Low</v>
      </c>
      <c r="O53" t="str">
        <f>TEXT(Table1[[#This Row],[Date]],"MMM-YY")</f>
        <v>Feb-25</v>
      </c>
      <c r="P53" s="10" t="str">
        <f>IF(Table1[[#This Row],[profit]]&gt;5000000,"High",IF(Table1[[#This Row],[profit]]&gt;3000000,"Medium","Low"))</f>
        <v>Low</v>
      </c>
      <c r="Q53" t="str">
        <f>IF(OR(Table1[[#This Row],[Status]]="Completed",Table1[[#This Row],[Status]]="Pending"),"Paid","no paid")</f>
        <v>Paid</v>
      </c>
    </row>
    <row r="54" spans="1:17" x14ac:dyDescent="0.25">
      <c r="A54" t="s">
        <v>105</v>
      </c>
      <c r="B54" s="1">
        <v>45740</v>
      </c>
      <c r="C54" t="s">
        <v>12</v>
      </c>
      <c r="D54" t="s">
        <v>13</v>
      </c>
      <c r="E54">
        <v>2000</v>
      </c>
      <c r="F54">
        <v>89</v>
      </c>
      <c r="G54">
        <f>Table1[[#This Row],[Price]]*Table1[[#This Row],[Quantity]]</f>
        <v>178000</v>
      </c>
      <c r="H54" t="s">
        <v>20</v>
      </c>
      <c r="I54" t="s">
        <v>67</v>
      </c>
      <c r="J54" t="s">
        <v>38</v>
      </c>
      <c r="K54" t="s">
        <v>22</v>
      </c>
      <c r="L54">
        <f>Table1[[#This Row],[Total Sales]]*Table1[[#This Row],[Quantity]]</f>
        <v>15842000</v>
      </c>
      <c r="N54" t="str">
        <f>IF(AND(Table1[[#This Row],[Price]]&gt;50,Table1[[#This Row],[Category]]="Footwear"),"High","Low")</f>
        <v>High</v>
      </c>
      <c r="O54" t="str">
        <f>TEXT(Table1[[#This Row],[Date]],"MMM-YY")</f>
        <v>Mar-25</v>
      </c>
      <c r="P54" s="10" t="str">
        <f>IF(Table1[[#This Row],[profit]]&gt;5000000,"High",IF(Table1[[#This Row],[profit]]&gt;3000000,"Medium","Low"))</f>
        <v>High</v>
      </c>
      <c r="Q54" t="str">
        <f>IF(OR(Table1[[#This Row],[Status]]="Completed",Table1[[#This Row],[Status]]="Pending"),"Paid","no paid")</f>
        <v>Paid</v>
      </c>
    </row>
    <row r="55" spans="1:17" x14ac:dyDescent="0.25">
      <c r="A55" t="s">
        <v>106</v>
      </c>
      <c r="B55" s="1">
        <v>45731</v>
      </c>
      <c r="C55" t="s">
        <v>32</v>
      </c>
      <c r="D55" t="s">
        <v>19</v>
      </c>
      <c r="E55">
        <v>1000</v>
      </c>
      <c r="F55">
        <v>42</v>
      </c>
      <c r="G55">
        <f>Table1[[#This Row],[Price]]*Table1[[#This Row],[Quantity]]</f>
        <v>42000</v>
      </c>
      <c r="H55" t="s">
        <v>50</v>
      </c>
      <c r="I55" t="s">
        <v>45</v>
      </c>
      <c r="J55" t="s">
        <v>57</v>
      </c>
      <c r="K55" t="s">
        <v>22</v>
      </c>
      <c r="L55">
        <f>Table1[[#This Row],[Total Sales]]*Table1[[#This Row],[Quantity]]</f>
        <v>1764000</v>
      </c>
      <c r="N55" t="str">
        <f>IF(AND(Table1[[#This Row],[Price]]&gt;50,Table1[[#This Row],[Category]]="Footwear"),"High","Low")</f>
        <v>Low</v>
      </c>
      <c r="O55" t="str">
        <f>TEXT(Table1[[#This Row],[Date]],"MMM-YY")</f>
        <v>Mar-25</v>
      </c>
      <c r="P55" s="10" t="str">
        <f>IF(Table1[[#This Row],[profit]]&gt;5000000,"High",IF(Table1[[#This Row],[profit]]&gt;3000000,"Medium","Low"))</f>
        <v>Low</v>
      </c>
      <c r="Q55" t="str">
        <f>IF(OR(Table1[[#This Row],[Status]]="Completed",Table1[[#This Row],[Status]]="Pending"),"Paid","no paid")</f>
        <v>Paid</v>
      </c>
    </row>
    <row r="56" spans="1:17" x14ac:dyDescent="0.25">
      <c r="A56" t="s">
        <v>107</v>
      </c>
      <c r="B56" s="1">
        <v>45731</v>
      </c>
      <c r="C56" t="s">
        <v>52</v>
      </c>
      <c r="D56" t="s">
        <v>35</v>
      </c>
      <c r="E56">
        <v>500</v>
      </c>
      <c r="F56">
        <v>51</v>
      </c>
      <c r="G56">
        <f>Table1[[#This Row],[Price]]*Table1[[#This Row],[Quantity]]</f>
        <v>25500</v>
      </c>
      <c r="H56" t="s">
        <v>42</v>
      </c>
      <c r="I56" t="s">
        <v>29</v>
      </c>
      <c r="J56" t="s">
        <v>38</v>
      </c>
      <c r="K56" t="s">
        <v>39</v>
      </c>
      <c r="L56">
        <f>Table1[[#This Row],[Total Sales]]*Table1[[#This Row],[Quantity]]</f>
        <v>1300500</v>
      </c>
      <c r="N56" t="str">
        <f>IF(AND(Table1[[#This Row],[Price]]&gt;50,Table1[[#This Row],[Category]]="Footwear"),"High","Low")</f>
        <v>Low</v>
      </c>
      <c r="O56" t="str">
        <f>TEXT(Table1[[#This Row],[Date]],"MMM-YY")</f>
        <v>Mar-25</v>
      </c>
      <c r="P56" s="10" t="str">
        <f>IF(Table1[[#This Row],[profit]]&gt;5000000,"High",IF(Table1[[#This Row],[profit]]&gt;3000000,"Medium","Low"))</f>
        <v>Low</v>
      </c>
      <c r="Q56" t="str">
        <f>IF(OR(Table1[[#This Row],[Status]]="Completed",Table1[[#This Row],[Status]]="Pending"),"Paid","no paid")</f>
        <v>Paid</v>
      </c>
    </row>
    <row r="57" spans="1:17" x14ac:dyDescent="0.25">
      <c r="A57" t="s">
        <v>108</v>
      </c>
      <c r="B57" s="1">
        <v>45735</v>
      </c>
      <c r="C57" t="s">
        <v>32</v>
      </c>
      <c r="D57" t="s">
        <v>19</v>
      </c>
      <c r="E57">
        <v>2000</v>
      </c>
      <c r="F57">
        <v>63</v>
      </c>
      <c r="G57">
        <f>Table1[[#This Row],[Price]]*Table1[[#This Row],[Quantity]]</f>
        <v>126000</v>
      </c>
      <c r="H57" t="s">
        <v>14</v>
      </c>
      <c r="I57" t="s">
        <v>29</v>
      </c>
      <c r="J57" t="s">
        <v>30</v>
      </c>
      <c r="K57" t="s">
        <v>39</v>
      </c>
      <c r="L57">
        <f>Table1[[#This Row],[Total Sales]]*Table1[[#This Row],[Quantity]]</f>
        <v>7938000</v>
      </c>
      <c r="N57" t="str">
        <f>IF(AND(Table1[[#This Row],[Price]]&gt;50,Table1[[#This Row],[Category]]="Footwear"),"High","Low")</f>
        <v>Low</v>
      </c>
      <c r="O57" t="str">
        <f>TEXT(Table1[[#This Row],[Date]],"MMM-YY")</f>
        <v>Mar-25</v>
      </c>
      <c r="P57" s="10" t="str">
        <f>IF(Table1[[#This Row],[profit]]&gt;5000000,"High",IF(Table1[[#This Row],[profit]]&gt;3000000,"Medium","Low"))</f>
        <v>High</v>
      </c>
      <c r="Q57" t="str">
        <f>IF(OR(Table1[[#This Row],[Status]]="Completed",Table1[[#This Row],[Status]]="Pending"),"Paid","no paid")</f>
        <v>Paid</v>
      </c>
    </row>
    <row r="58" spans="1:17" x14ac:dyDescent="0.25">
      <c r="A58" t="s">
        <v>109</v>
      </c>
      <c r="B58" s="1">
        <v>45731</v>
      </c>
      <c r="C58" t="s">
        <v>41</v>
      </c>
      <c r="D58" t="s">
        <v>19</v>
      </c>
      <c r="E58">
        <v>3000</v>
      </c>
      <c r="F58">
        <v>35</v>
      </c>
      <c r="G58">
        <f>Table1[[#This Row],[Price]]*Table1[[#This Row],[Quantity]]</f>
        <v>105000</v>
      </c>
      <c r="H58" t="s">
        <v>79</v>
      </c>
      <c r="I58" t="s">
        <v>67</v>
      </c>
      <c r="J58" t="s">
        <v>16</v>
      </c>
      <c r="K58" t="s">
        <v>39</v>
      </c>
      <c r="L58">
        <f>Table1[[#This Row],[Total Sales]]*Table1[[#This Row],[Quantity]]</f>
        <v>3675000</v>
      </c>
      <c r="N58" t="str">
        <f>IF(AND(Table1[[#This Row],[Price]]&gt;50,Table1[[#This Row],[Category]]="Footwear"),"High","Low")</f>
        <v>Low</v>
      </c>
      <c r="O58" t="str">
        <f>TEXT(Table1[[#This Row],[Date]],"MMM-YY")</f>
        <v>Mar-25</v>
      </c>
      <c r="P58" s="10" t="str">
        <f>IF(Table1[[#This Row],[profit]]&gt;5000000,"High",IF(Table1[[#This Row],[profit]]&gt;3000000,"Medium","Low"))</f>
        <v>Medium</v>
      </c>
      <c r="Q58" t="str">
        <f>IF(OR(Table1[[#This Row],[Status]]="Completed",Table1[[#This Row],[Status]]="Pending"),"Paid","no paid")</f>
        <v>Paid</v>
      </c>
    </row>
    <row r="59" spans="1:17" x14ac:dyDescent="0.25">
      <c r="A59" t="s">
        <v>110</v>
      </c>
      <c r="B59" s="1">
        <v>45729</v>
      </c>
      <c r="C59" t="s">
        <v>41</v>
      </c>
      <c r="D59" t="s">
        <v>19</v>
      </c>
      <c r="E59">
        <v>5000</v>
      </c>
      <c r="F59">
        <v>44</v>
      </c>
      <c r="G59">
        <f>Table1[[#This Row],[Price]]*Table1[[#This Row],[Quantity]]</f>
        <v>220000</v>
      </c>
      <c r="H59" t="s">
        <v>79</v>
      </c>
      <c r="I59" t="s">
        <v>80</v>
      </c>
      <c r="J59" t="s">
        <v>38</v>
      </c>
      <c r="K59" t="s">
        <v>22</v>
      </c>
      <c r="L59">
        <f>Table1[[#This Row],[Total Sales]]*Table1[[#This Row],[Quantity]]</f>
        <v>9680000</v>
      </c>
      <c r="N59" t="str">
        <f>IF(AND(Table1[[#This Row],[Price]]&gt;50,Table1[[#This Row],[Category]]="Footwear"),"High","Low")</f>
        <v>Low</v>
      </c>
      <c r="O59" t="str">
        <f>TEXT(Table1[[#This Row],[Date]],"MMM-YY")</f>
        <v>Mar-25</v>
      </c>
      <c r="P59" s="10" t="str">
        <f>IF(Table1[[#This Row],[profit]]&gt;5000000,"High",IF(Table1[[#This Row],[profit]]&gt;3000000,"Medium","Low"))</f>
        <v>High</v>
      </c>
      <c r="Q59" t="str">
        <f>IF(OR(Table1[[#This Row],[Status]]="Completed",Table1[[#This Row],[Status]]="Pending"),"Paid","no paid")</f>
        <v>Paid</v>
      </c>
    </row>
    <row r="60" spans="1:17" x14ac:dyDescent="0.25">
      <c r="A60" t="s">
        <v>111</v>
      </c>
      <c r="B60" s="1">
        <v>45748</v>
      </c>
      <c r="C60" t="s">
        <v>32</v>
      </c>
      <c r="D60" t="s">
        <v>19</v>
      </c>
      <c r="E60">
        <v>2000</v>
      </c>
      <c r="F60">
        <v>22</v>
      </c>
      <c r="G60">
        <f>Table1[[#This Row],[Price]]*Table1[[#This Row],[Quantity]]</f>
        <v>44000</v>
      </c>
      <c r="H60" t="s">
        <v>56</v>
      </c>
      <c r="I60" t="s">
        <v>29</v>
      </c>
      <c r="J60" t="s">
        <v>30</v>
      </c>
      <c r="K60" t="s">
        <v>39</v>
      </c>
      <c r="L60">
        <f>Table1[[#This Row],[Total Sales]]*Table1[[#This Row],[Quantity]]</f>
        <v>968000</v>
      </c>
      <c r="N60" t="str">
        <f>IF(AND(Table1[[#This Row],[Price]]&gt;50,Table1[[#This Row],[Category]]="Footwear"),"High","Low")</f>
        <v>Low</v>
      </c>
      <c r="O60" t="str">
        <f>TEXT(Table1[[#This Row],[Date]],"MMM-YY")</f>
        <v>Apr-25</v>
      </c>
      <c r="P60" s="10" t="str">
        <f>IF(Table1[[#This Row],[profit]]&gt;5000000,"High",IF(Table1[[#This Row],[profit]]&gt;3000000,"Medium","Low"))</f>
        <v>Low</v>
      </c>
      <c r="Q60" t="str">
        <f>IF(OR(Table1[[#This Row],[Status]]="Completed",Table1[[#This Row],[Status]]="Pending"),"Paid","no paid")</f>
        <v>Paid</v>
      </c>
    </row>
    <row r="61" spans="1:17" x14ac:dyDescent="0.25">
      <c r="A61" t="s">
        <v>112</v>
      </c>
      <c r="B61" s="1">
        <v>45728</v>
      </c>
      <c r="C61" t="s">
        <v>48</v>
      </c>
      <c r="D61" t="s">
        <v>49</v>
      </c>
      <c r="E61">
        <v>2000</v>
      </c>
      <c r="F61">
        <v>16</v>
      </c>
      <c r="G61">
        <f>Table1[[#This Row],[Price]]*Table1[[#This Row],[Quantity]]</f>
        <v>32000</v>
      </c>
      <c r="H61" t="s">
        <v>79</v>
      </c>
      <c r="I61" t="s">
        <v>29</v>
      </c>
      <c r="J61" t="s">
        <v>30</v>
      </c>
      <c r="K61" t="s">
        <v>22</v>
      </c>
      <c r="L61">
        <f>Table1[[#This Row],[Total Sales]]*Table1[[#This Row],[Quantity]]</f>
        <v>512000</v>
      </c>
      <c r="N61" t="str">
        <f>IF(AND(Table1[[#This Row],[Price]]&gt;50,Table1[[#This Row],[Category]]="Footwear"),"High","Low")</f>
        <v>Low</v>
      </c>
      <c r="O61" t="str">
        <f>TEXT(Table1[[#This Row],[Date]],"MMM-YY")</f>
        <v>Mar-25</v>
      </c>
      <c r="P61" s="10" t="str">
        <f>IF(Table1[[#This Row],[profit]]&gt;5000000,"High",IF(Table1[[#This Row],[profit]]&gt;3000000,"Medium","Low"))</f>
        <v>Low</v>
      </c>
      <c r="Q61" t="str">
        <f>IF(OR(Table1[[#This Row],[Status]]="Completed",Table1[[#This Row],[Status]]="Pending"),"Paid","no paid")</f>
        <v>Paid</v>
      </c>
    </row>
    <row r="62" spans="1:17" x14ac:dyDescent="0.25">
      <c r="A62" t="s">
        <v>113</v>
      </c>
      <c r="B62" s="1">
        <v>45727</v>
      </c>
      <c r="C62" t="s">
        <v>64</v>
      </c>
      <c r="D62" t="s">
        <v>60</v>
      </c>
      <c r="E62">
        <v>1000</v>
      </c>
      <c r="F62">
        <v>12</v>
      </c>
      <c r="G62">
        <f>Table1[[#This Row],[Price]]*Table1[[#This Row],[Quantity]]</f>
        <v>12000</v>
      </c>
      <c r="H62" t="s">
        <v>79</v>
      </c>
      <c r="I62" t="s">
        <v>15</v>
      </c>
      <c r="J62" t="s">
        <v>38</v>
      </c>
      <c r="K62" t="s">
        <v>22</v>
      </c>
      <c r="L62">
        <f>Table1[[#This Row],[Total Sales]]*Table1[[#This Row],[Quantity]]</f>
        <v>144000</v>
      </c>
      <c r="N62" t="str">
        <f>IF(AND(Table1[[#This Row],[Price]]&gt;50,Table1[[#This Row],[Category]]="Footwear"),"High","Low")</f>
        <v>Low</v>
      </c>
      <c r="O62" t="str">
        <f>TEXT(Table1[[#This Row],[Date]],"MMM-YY")</f>
        <v>Mar-25</v>
      </c>
      <c r="P62" s="10" t="str">
        <f>IF(Table1[[#This Row],[profit]]&gt;5000000,"High",IF(Table1[[#This Row],[profit]]&gt;3000000,"Medium","Low"))</f>
        <v>Low</v>
      </c>
      <c r="Q62" t="str">
        <f>IF(OR(Table1[[#This Row],[Status]]="Completed",Table1[[#This Row],[Status]]="Pending"),"Paid","no paid")</f>
        <v>Paid</v>
      </c>
    </row>
    <row r="63" spans="1:17" x14ac:dyDescent="0.25">
      <c r="A63" t="s">
        <v>114</v>
      </c>
      <c r="B63" s="1">
        <v>45698</v>
      </c>
      <c r="C63" t="s">
        <v>55</v>
      </c>
      <c r="D63" t="s">
        <v>19</v>
      </c>
      <c r="E63">
        <v>500</v>
      </c>
      <c r="F63">
        <v>63</v>
      </c>
      <c r="G63">
        <f>Table1[[#This Row],[Price]]*Table1[[#This Row],[Quantity]]</f>
        <v>31500</v>
      </c>
      <c r="H63" t="s">
        <v>28</v>
      </c>
      <c r="I63" t="s">
        <v>21</v>
      </c>
      <c r="J63" t="s">
        <v>38</v>
      </c>
      <c r="K63" t="s">
        <v>22</v>
      </c>
      <c r="L63">
        <f>Table1[[#This Row],[Total Sales]]*Table1[[#This Row],[Quantity]]</f>
        <v>1984500</v>
      </c>
      <c r="N63" t="str">
        <f>IF(AND(Table1[[#This Row],[Price]]&gt;50,Table1[[#This Row],[Category]]="Footwear"),"High","Low")</f>
        <v>Low</v>
      </c>
      <c r="O63" t="str">
        <f>TEXT(Table1[[#This Row],[Date]],"MMM-YY")</f>
        <v>Feb-25</v>
      </c>
      <c r="P63" s="10" t="str">
        <f>IF(Table1[[#This Row],[profit]]&gt;5000000,"High",IF(Table1[[#This Row],[profit]]&gt;3000000,"Medium","Low"))</f>
        <v>Low</v>
      </c>
      <c r="Q63" t="str">
        <f>IF(OR(Table1[[#This Row],[Status]]="Completed",Table1[[#This Row],[Status]]="Pending"),"Paid","no paid")</f>
        <v>Paid</v>
      </c>
    </row>
    <row r="64" spans="1:17" x14ac:dyDescent="0.25">
      <c r="A64" t="s">
        <v>115</v>
      </c>
      <c r="B64" s="1">
        <v>45746</v>
      </c>
      <c r="C64" t="s">
        <v>41</v>
      </c>
      <c r="D64" t="s">
        <v>19</v>
      </c>
      <c r="E64">
        <v>2000</v>
      </c>
      <c r="F64">
        <v>35</v>
      </c>
      <c r="G64">
        <f>Table1[[#This Row],[Price]]*Table1[[#This Row],[Quantity]]</f>
        <v>70000</v>
      </c>
      <c r="H64" t="s">
        <v>14</v>
      </c>
      <c r="I64" t="s">
        <v>43</v>
      </c>
      <c r="J64" t="s">
        <v>57</v>
      </c>
      <c r="K64" t="s">
        <v>39</v>
      </c>
      <c r="L64">
        <f>Table1[[#This Row],[Total Sales]]*Table1[[#This Row],[Quantity]]</f>
        <v>2450000</v>
      </c>
      <c r="N64" t="str">
        <f>IF(AND(Table1[[#This Row],[Price]]&gt;50,Table1[[#This Row],[Category]]="Footwear"),"High","Low")</f>
        <v>Low</v>
      </c>
      <c r="O64" t="str">
        <f>TEXT(Table1[[#This Row],[Date]],"MMM-YY")</f>
        <v>Mar-25</v>
      </c>
      <c r="P64" s="10" t="str">
        <f>IF(Table1[[#This Row],[profit]]&gt;5000000,"High",IF(Table1[[#This Row],[profit]]&gt;3000000,"Medium","Low"))</f>
        <v>Low</v>
      </c>
      <c r="Q64" t="str">
        <f>IF(OR(Table1[[#This Row],[Status]]="Completed",Table1[[#This Row],[Status]]="Pending"),"Paid","no paid")</f>
        <v>Paid</v>
      </c>
    </row>
    <row r="65" spans="1:17" x14ac:dyDescent="0.25">
      <c r="A65" t="s">
        <v>116</v>
      </c>
      <c r="B65" s="1">
        <v>45701</v>
      </c>
      <c r="C65" t="s">
        <v>64</v>
      </c>
      <c r="D65" t="s">
        <v>60</v>
      </c>
      <c r="E65">
        <v>3000</v>
      </c>
      <c r="F65">
        <v>44</v>
      </c>
      <c r="G65">
        <f>Table1[[#This Row],[Price]]*Table1[[#This Row],[Quantity]]</f>
        <v>132000</v>
      </c>
      <c r="H65" t="s">
        <v>20</v>
      </c>
      <c r="I65" t="s">
        <v>25</v>
      </c>
      <c r="J65" t="s">
        <v>38</v>
      </c>
      <c r="K65" t="s">
        <v>39</v>
      </c>
      <c r="L65">
        <f>Table1[[#This Row],[Total Sales]]*Table1[[#This Row],[Quantity]]</f>
        <v>5808000</v>
      </c>
      <c r="N65" t="str">
        <f>IF(AND(Table1[[#This Row],[Price]]&gt;50,Table1[[#This Row],[Category]]="Footwear"),"High","Low")</f>
        <v>Low</v>
      </c>
      <c r="O65" t="str">
        <f>TEXT(Table1[[#This Row],[Date]],"MMM-YY")</f>
        <v>Feb-25</v>
      </c>
      <c r="P65" s="10" t="str">
        <f>IF(Table1[[#This Row],[profit]]&gt;5000000,"High",IF(Table1[[#This Row],[profit]]&gt;3000000,"Medium","Low"))</f>
        <v>High</v>
      </c>
      <c r="Q65" t="str">
        <f>IF(OR(Table1[[#This Row],[Status]]="Completed",Table1[[#This Row],[Status]]="Pending"),"Paid","no paid")</f>
        <v>Paid</v>
      </c>
    </row>
    <row r="66" spans="1:17" x14ac:dyDescent="0.25">
      <c r="A66" t="s">
        <v>117</v>
      </c>
      <c r="B66" s="1">
        <v>45732</v>
      </c>
      <c r="C66" t="s">
        <v>48</v>
      </c>
      <c r="D66" t="s">
        <v>49</v>
      </c>
      <c r="E66">
        <v>5000</v>
      </c>
      <c r="F66">
        <v>22</v>
      </c>
      <c r="G66">
        <f>Table1[[#This Row],[Price]]*Table1[[#This Row],[Quantity]]</f>
        <v>110000</v>
      </c>
      <c r="H66" t="s">
        <v>14</v>
      </c>
      <c r="I66" t="s">
        <v>21</v>
      </c>
      <c r="J66" t="s">
        <v>26</v>
      </c>
      <c r="K66" t="s">
        <v>39</v>
      </c>
      <c r="L66">
        <f>Table1[[#This Row],[Total Sales]]*Table1[[#This Row],[Quantity]]</f>
        <v>2420000</v>
      </c>
      <c r="N66" t="str">
        <f>IF(AND(Table1[[#This Row],[Price]]&gt;50,Table1[[#This Row],[Category]]="Footwear"),"High","Low")</f>
        <v>Low</v>
      </c>
      <c r="O66" t="str">
        <f>TEXT(Table1[[#This Row],[Date]],"MMM-YY")</f>
        <v>Mar-25</v>
      </c>
      <c r="P66" s="10" t="str">
        <f>IF(Table1[[#This Row],[profit]]&gt;5000000,"High",IF(Table1[[#This Row],[profit]]&gt;3000000,"Medium","Low"))</f>
        <v>Low</v>
      </c>
      <c r="Q66" t="str">
        <f>IF(OR(Table1[[#This Row],[Status]]="Completed",Table1[[#This Row],[Status]]="Pending"),"Paid","no paid")</f>
        <v>Paid</v>
      </c>
    </row>
    <row r="67" spans="1:17" x14ac:dyDescent="0.25">
      <c r="A67" t="s">
        <v>118</v>
      </c>
      <c r="B67" s="1">
        <v>45730</v>
      </c>
      <c r="C67" t="s">
        <v>32</v>
      </c>
      <c r="D67" t="s">
        <v>19</v>
      </c>
      <c r="E67">
        <v>2000</v>
      </c>
      <c r="F67">
        <v>16</v>
      </c>
      <c r="G67">
        <f>Table1[[#This Row],[Price]]*Table1[[#This Row],[Quantity]]</f>
        <v>32000</v>
      </c>
      <c r="H67" t="s">
        <v>53</v>
      </c>
      <c r="I67" t="s">
        <v>25</v>
      </c>
      <c r="J67" t="s">
        <v>38</v>
      </c>
      <c r="K67" t="s">
        <v>22</v>
      </c>
      <c r="L67">
        <f>Table1[[#This Row],[Total Sales]]*Table1[[#This Row],[Quantity]]</f>
        <v>512000</v>
      </c>
      <c r="N67" t="str">
        <f>IF(AND(Table1[[#This Row],[Price]]&gt;50,Table1[[#This Row],[Category]]="Footwear"),"High","Low")</f>
        <v>Low</v>
      </c>
      <c r="O67" t="str">
        <f>TEXT(Table1[[#This Row],[Date]],"MMM-YY")</f>
        <v>Mar-25</v>
      </c>
      <c r="P67" s="10" t="str">
        <f>IF(Table1[[#This Row],[profit]]&gt;5000000,"High",IF(Table1[[#This Row],[profit]]&gt;3000000,"Medium","Low"))</f>
        <v>Low</v>
      </c>
      <c r="Q67" t="str">
        <f>IF(OR(Table1[[#This Row],[Status]]="Completed",Table1[[#This Row],[Status]]="Pending"),"Paid","no paid")</f>
        <v>Paid</v>
      </c>
    </row>
    <row r="68" spans="1:17" x14ac:dyDescent="0.25">
      <c r="A68" t="s">
        <v>119</v>
      </c>
      <c r="B68" s="1">
        <v>45747</v>
      </c>
      <c r="C68" t="s">
        <v>18</v>
      </c>
      <c r="D68" t="s">
        <v>19</v>
      </c>
      <c r="E68">
        <v>2000</v>
      </c>
      <c r="F68">
        <v>12</v>
      </c>
      <c r="G68">
        <f>Table1[[#This Row],[Price]]*Table1[[#This Row],[Quantity]]</f>
        <v>24000</v>
      </c>
      <c r="H68" t="s">
        <v>71</v>
      </c>
      <c r="I68" t="s">
        <v>15</v>
      </c>
      <c r="J68" t="s">
        <v>16</v>
      </c>
      <c r="K68" t="s">
        <v>22</v>
      </c>
      <c r="L68">
        <f>Table1[[#This Row],[Total Sales]]*Table1[[#This Row],[Quantity]]</f>
        <v>288000</v>
      </c>
      <c r="N68" t="str">
        <f>IF(AND(Table1[[#This Row],[Price]]&gt;50,Table1[[#This Row],[Category]]="Footwear"),"High","Low")</f>
        <v>Low</v>
      </c>
      <c r="O68" t="str">
        <f>TEXT(Table1[[#This Row],[Date]],"MMM-YY")</f>
        <v>Mar-25</v>
      </c>
      <c r="P68" s="10" t="str">
        <f>IF(Table1[[#This Row],[profit]]&gt;5000000,"High",IF(Table1[[#This Row],[profit]]&gt;3000000,"Medium","Low"))</f>
        <v>Low</v>
      </c>
      <c r="Q68" t="str">
        <f>IF(OR(Table1[[#This Row],[Status]]="Completed",Table1[[#This Row],[Status]]="Pending"),"Paid","no paid")</f>
        <v>Paid</v>
      </c>
    </row>
    <row r="69" spans="1:17" x14ac:dyDescent="0.25">
      <c r="A69" t="s">
        <v>120</v>
      </c>
      <c r="B69" s="1">
        <v>45711</v>
      </c>
      <c r="C69" t="s">
        <v>18</v>
      </c>
      <c r="D69" t="s">
        <v>19</v>
      </c>
      <c r="E69">
        <v>1000</v>
      </c>
      <c r="F69">
        <v>63</v>
      </c>
      <c r="G69">
        <f>Table1[[#This Row],[Price]]*Table1[[#This Row],[Quantity]]</f>
        <v>63000</v>
      </c>
      <c r="H69" t="s">
        <v>50</v>
      </c>
      <c r="I69" t="s">
        <v>37</v>
      </c>
      <c r="J69" t="s">
        <v>16</v>
      </c>
      <c r="K69" t="s">
        <v>39</v>
      </c>
      <c r="L69">
        <f>Table1[[#This Row],[Total Sales]]*Table1[[#This Row],[Quantity]]</f>
        <v>3969000</v>
      </c>
      <c r="N69" t="str">
        <f>IF(AND(Table1[[#This Row],[Price]]&gt;50,Table1[[#This Row],[Category]]="Footwear"),"High","Low")</f>
        <v>Low</v>
      </c>
      <c r="O69" t="str">
        <f>TEXT(Table1[[#This Row],[Date]],"MMM-YY")</f>
        <v>Feb-25</v>
      </c>
      <c r="P69" s="10" t="str">
        <f>IF(Table1[[#This Row],[profit]]&gt;5000000,"High",IF(Table1[[#This Row],[profit]]&gt;3000000,"Medium","Low"))</f>
        <v>Medium</v>
      </c>
      <c r="Q69" t="str">
        <f>IF(OR(Table1[[#This Row],[Status]]="Completed",Table1[[#This Row],[Status]]="Pending"),"Paid","no paid")</f>
        <v>Paid</v>
      </c>
    </row>
    <row r="70" spans="1:17" x14ac:dyDescent="0.25">
      <c r="A70" t="s">
        <v>121</v>
      </c>
      <c r="B70" s="1">
        <v>45713</v>
      </c>
      <c r="C70" t="s">
        <v>64</v>
      </c>
      <c r="D70" t="s">
        <v>60</v>
      </c>
      <c r="E70">
        <v>500</v>
      </c>
      <c r="F70">
        <v>35</v>
      </c>
      <c r="G70">
        <f>Table1[[#This Row],[Price]]*Table1[[#This Row],[Quantity]]</f>
        <v>17500</v>
      </c>
      <c r="H70" t="s">
        <v>50</v>
      </c>
      <c r="I70" t="s">
        <v>45</v>
      </c>
      <c r="J70" t="s">
        <v>57</v>
      </c>
      <c r="K70" t="s">
        <v>22</v>
      </c>
      <c r="L70">
        <f>Table1[[#This Row],[Total Sales]]*Table1[[#This Row],[Quantity]]</f>
        <v>612500</v>
      </c>
      <c r="N70" t="str">
        <f>IF(AND(Table1[[#This Row],[Price]]&gt;50,Table1[[#This Row],[Category]]="Footwear"),"High","Low")</f>
        <v>Low</v>
      </c>
      <c r="O70" t="str">
        <f>TEXT(Table1[[#This Row],[Date]],"MMM-YY")</f>
        <v>Feb-25</v>
      </c>
      <c r="P70" s="10" t="str">
        <f>IF(Table1[[#This Row],[profit]]&gt;5000000,"High",IF(Table1[[#This Row],[profit]]&gt;3000000,"Medium","Low"))</f>
        <v>Low</v>
      </c>
      <c r="Q70" t="str">
        <f>IF(OR(Table1[[#This Row],[Status]]="Completed",Table1[[#This Row],[Status]]="Pending"),"Paid","no paid")</f>
        <v>Paid</v>
      </c>
    </row>
    <row r="71" spans="1:17" x14ac:dyDescent="0.25">
      <c r="A71" t="s">
        <v>122</v>
      </c>
      <c r="B71" s="1">
        <v>45726</v>
      </c>
      <c r="C71" t="s">
        <v>48</v>
      </c>
      <c r="D71" t="s">
        <v>49</v>
      </c>
      <c r="E71">
        <v>2000</v>
      </c>
      <c r="F71">
        <v>44</v>
      </c>
      <c r="G71">
        <f>Table1[[#This Row],[Price]]*Table1[[#This Row],[Quantity]]</f>
        <v>88000</v>
      </c>
      <c r="H71" t="s">
        <v>20</v>
      </c>
      <c r="I71" t="s">
        <v>45</v>
      </c>
      <c r="J71" t="s">
        <v>30</v>
      </c>
      <c r="K71" t="s">
        <v>39</v>
      </c>
      <c r="L71">
        <f>Table1[[#This Row],[Total Sales]]*Table1[[#This Row],[Quantity]]</f>
        <v>3872000</v>
      </c>
      <c r="N71" t="str">
        <f>IF(AND(Table1[[#This Row],[Price]]&gt;50,Table1[[#This Row],[Category]]="Footwear"),"High","Low")</f>
        <v>Low</v>
      </c>
      <c r="O71" t="str">
        <f>TEXT(Table1[[#This Row],[Date]],"MMM-YY")</f>
        <v>Mar-25</v>
      </c>
      <c r="P71" s="10" t="str">
        <f>IF(Table1[[#This Row],[profit]]&gt;5000000,"High",IF(Table1[[#This Row],[profit]]&gt;3000000,"Medium","Low"))</f>
        <v>Medium</v>
      </c>
      <c r="Q71" t="str">
        <f>IF(OR(Table1[[#This Row],[Status]]="Completed",Table1[[#This Row],[Status]]="Pending"),"Paid","no paid")</f>
        <v>Paid</v>
      </c>
    </row>
    <row r="72" spans="1:17" x14ac:dyDescent="0.25">
      <c r="A72" t="s">
        <v>123</v>
      </c>
      <c r="B72" s="1">
        <v>45732</v>
      </c>
      <c r="C72" t="s">
        <v>32</v>
      </c>
      <c r="D72" t="s">
        <v>19</v>
      </c>
      <c r="E72">
        <v>3000</v>
      </c>
      <c r="F72">
        <v>22</v>
      </c>
      <c r="G72">
        <f>Table1[[#This Row],[Price]]*Table1[[#This Row],[Quantity]]</f>
        <v>66000</v>
      </c>
      <c r="H72" t="s">
        <v>24</v>
      </c>
      <c r="I72" t="s">
        <v>25</v>
      </c>
      <c r="J72" t="s">
        <v>30</v>
      </c>
      <c r="K72" t="s">
        <v>22</v>
      </c>
      <c r="L72">
        <f>Table1[[#This Row],[Total Sales]]*Table1[[#This Row],[Quantity]]</f>
        <v>1452000</v>
      </c>
      <c r="N72" t="str">
        <f>IF(AND(Table1[[#This Row],[Price]]&gt;50,Table1[[#This Row],[Category]]="Footwear"),"High","Low")</f>
        <v>Low</v>
      </c>
      <c r="O72" t="str">
        <f>TEXT(Table1[[#This Row],[Date]],"MMM-YY")</f>
        <v>Mar-25</v>
      </c>
      <c r="P72" s="10" t="str">
        <f>IF(Table1[[#This Row],[profit]]&gt;5000000,"High",IF(Table1[[#This Row],[profit]]&gt;3000000,"Medium","Low"))</f>
        <v>Low</v>
      </c>
      <c r="Q72" t="str">
        <f>IF(OR(Table1[[#This Row],[Status]]="Completed",Table1[[#This Row],[Status]]="Pending"),"Paid","no paid")</f>
        <v>Paid</v>
      </c>
    </row>
    <row r="73" spans="1:17" x14ac:dyDescent="0.25">
      <c r="A73" t="s">
        <v>124</v>
      </c>
      <c r="B73" s="1">
        <v>45723</v>
      </c>
      <c r="C73" t="s">
        <v>55</v>
      </c>
      <c r="D73" t="s">
        <v>19</v>
      </c>
      <c r="E73">
        <v>5000</v>
      </c>
      <c r="F73">
        <v>16</v>
      </c>
      <c r="G73">
        <f>Table1[[#This Row],[Price]]*Table1[[#This Row],[Quantity]]</f>
        <v>80000</v>
      </c>
      <c r="H73" t="s">
        <v>56</v>
      </c>
      <c r="I73" t="s">
        <v>37</v>
      </c>
      <c r="J73" t="s">
        <v>30</v>
      </c>
      <c r="K73" t="s">
        <v>22</v>
      </c>
      <c r="L73">
        <f>Table1[[#This Row],[Total Sales]]*Table1[[#This Row],[Quantity]]</f>
        <v>1280000</v>
      </c>
      <c r="N73" t="str">
        <f>IF(AND(Table1[[#This Row],[Price]]&gt;50,Table1[[#This Row],[Category]]="Footwear"),"High","Low")</f>
        <v>Low</v>
      </c>
      <c r="O73" t="str">
        <f>TEXT(Table1[[#This Row],[Date]],"MMM-YY")</f>
        <v>Mar-25</v>
      </c>
      <c r="P73" s="10" t="str">
        <f>IF(Table1[[#This Row],[profit]]&gt;5000000,"High",IF(Table1[[#This Row],[profit]]&gt;3000000,"Medium","Low"))</f>
        <v>Low</v>
      </c>
      <c r="Q73" t="str">
        <f>IF(OR(Table1[[#This Row],[Status]]="Completed",Table1[[#This Row],[Status]]="Pending"),"Paid","no paid")</f>
        <v>Paid</v>
      </c>
    </row>
    <row r="74" spans="1:17" x14ac:dyDescent="0.25">
      <c r="A74" t="s">
        <v>125</v>
      </c>
      <c r="B74" s="1">
        <v>45708</v>
      </c>
      <c r="C74" t="s">
        <v>41</v>
      </c>
      <c r="D74" t="s">
        <v>19</v>
      </c>
      <c r="E74">
        <v>2000</v>
      </c>
      <c r="F74">
        <v>12</v>
      </c>
      <c r="G74">
        <f>Table1[[#This Row],[Price]]*Table1[[#This Row],[Quantity]]</f>
        <v>24000</v>
      </c>
      <c r="H74" t="s">
        <v>20</v>
      </c>
      <c r="I74" t="s">
        <v>43</v>
      </c>
      <c r="J74" t="s">
        <v>30</v>
      </c>
      <c r="K74" t="s">
        <v>39</v>
      </c>
      <c r="L74">
        <f>Table1[[#This Row],[Total Sales]]*Table1[[#This Row],[Quantity]]</f>
        <v>288000</v>
      </c>
      <c r="N74" t="str">
        <f>IF(AND(Table1[[#This Row],[Price]]&gt;50,Table1[[#This Row],[Category]]="Footwear"),"High","Low")</f>
        <v>Low</v>
      </c>
      <c r="O74" t="str">
        <f>TEXT(Table1[[#This Row],[Date]],"MMM-YY")</f>
        <v>Feb-25</v>
      </c>
      <c r="P74" s="10" t="str">
        <f>IF(Table1[[#This Row],[profit]]&gt;5000000,"High",IF(Table1[[#This Row],[profit]]&gt;3000000,"Medium","Low"))</f>
        <v>Low</v>
      </c>
      <c r="Q74" t="str">
        <f>IF(OR(Table1[[#This Row],[Status]]="Completed",Table1[[#This Row],[Status]]="Pending"),"Paid","no paid")</f>
        <v>Paid</v>
      </c>
    </row>
    <row r="75" spans="1:17" x14ac:dyDescent="0.25">
      <c r="A75" t="s">
        <v>126</v>
      </c>
      <c r="B75" s="1">
        <v>45741</v>
      </c>
      <c r="C75" t="s">
        <v>64</v>
      </c>
      <c r="D75" t="s">
        <v>60</v>
      </c>
      <c r="E75">
        <v>2000</v>
      </c>
      <c r="F75">
        <v>4</v>
      </c>
      <c r="G75">
        <f>Table1[[#This Row],[Price]]*Table1[[#This Row],[Quantity]]</f>
        <v>8000</v>
      </c>
      <c r="H75" t="s">
        <v>79</v>
      </c>
      <c r="I75" t="s">
        <v>29</v>
      </c>
      <c r="J75" t="s">
        <v>57</v>
      </c>
      <c r="K75" t="s">
        <v>22</v>
      </c>
      <c r="L75">
        <f>Table1[[#This Row],[Total Sales]]*Table1[[#This Row],[Quantity]]</f>
        <v>32000</v>
      </c>
      <c r="N75" t="str">
        <f>IF(AND(Table1[[#This Row],[Price]]&gt;50,Table1[[#This Row],[Category]]="Footwear"),"High","Low")</f>
        <v>Low</v>
      </c>
      <c r="O75" t="str">
        <f>TEXT(Table1[[#This Row],[Date]],"MMM-YY")</f>
        <v>Mar-25</v>
      </c>
      <c r="P75" s="10" t="str">
        <f>IF(Table1[[#This Row],[profit]]&gt;5000000,"High",IF(Table1[[#This Row],[profit]]&gt;3000000,"Medium","Low"))</f>
        <v>Low</v>
      </c>
      <c r="Q75" t="str">
        <f>IF(OR(Table1[[#This Row],[Status]]="Completed",Table1[[#This Row],[Status]]="Pending"),"Paid","no paid")</f>
        <v>Paid</v>
      </c>
    </row>
    <row r="76" spans="1:17" x14ac:dyDescent="0.25">
      <c r="A76" t="s">
        <v>127</v>
      </c>
      <c r="B76" s="1">
        <v>45714</v>
      </c>
      <c r="C76" t="s">
        <v>18</v>
      </c>
      <c r="D76" t="s">
        <v>19</v>
      </c>
      <c r="E76">
        <v>1000</v>
      </c>
      <c r="F76">
        <v>33</v>
      </c>
      <c r="G76">
        <f>Table1[[#This Row],[Price]]*Table1[[#This Row],[Quantity]]</f>
        <v>33000</v>
      </c>
      <c r="H76" t="s">
        <v>56</v>
      </c>
      <c r="I76" t="s">
        <v>45</v>
      </c>
      <c r="J76" t="s">
        <v>38</v>
      </c>
      <c r="K76" t="s">
        <v>39</v>
      </c>
      <c r="L76">
        <f>Table1[[#This Row],[Total Sales]]*Table1[[#This Row],[Quantity]]</f>
        <v>1089000</v>
      </c>
      <c r="N76" t="str">
        <f>IF(AND(Table1[[#This Row],[Price]]&gt;50,Table1[[#This Row],[Category]]="Footwear"),"High","Low")</f>
        <v>Low</v>
      </c>
      <c r="O76" t="str">
        <f>TEXT(Table1[[#This Row],[Date]],"MMM-YY")</f>
        <v>Feb-25</v>
      </c>
      <c r="P76" s="10" t="str">
        <f>IF(Table1[[#This Row],[profit]]&gt;5000000,"High",IF(Table1[[#This Row],[profit]]&gt;3000000,"Medium","Low"))</f>
        <v>Low</v>
      </c>
      <c r="Q76" t="str">
        <f>IF(OR(Table1[[#This Row],[Status]]="Completed",Table1[[#This Row],[Status]]="Pending"),"Paid","no paid")</f>
        <v>Paid</v>
      </c>
    </row>
    <row r="77" spans="1:17" x14ac:dyDescent="0.25">
      <c r="A77" t="s">
        <v>128</v>
      </c>
      <c r="B77" s="1">
        <v>45712</v>
      </c>
      <c r="C77" t="s">
        <v>59</v>
      </c>
      <c r="D77" t="s">
        <v>60</v>
      </c>
      <c r="E77">
        <v>500</v>
      </c>
      <c r="F77">
        <v>54</v>
      </c>
      <c r="G77">
        <f>Table1[[#This Row],[Price]]*Table1[[#This Row],[Quantity]]</f>
        <v>27000</v>
      </c>
      <c r="H77" t="s">
        <v>79</v>
      </c>
      <c r="I77" t="s">
        <v>29</v>
      </c>
      <c r="J77" t="s">
        <v>26</v>
      </c>
      <c r="K77" t="s">
        <v>22</v>
      </c>
      <c r="L77">
        <f>Table1[[#This Row],[Total Sales]]*Table1[[#This Row],[Quantity]]</f>
        <v>1458000</v>
      </c>
      <c r="N77" t="str">
        <f>IF(AND(Table1[[#This Row],[Price]]&gt;50,Table1[[#This Row],[Category]]="Footwear"),"High","Low")</f>
        <v>Low</v>
      </c>
      <c r="O77" t="str">
        <f>TEXT(Table1[[#This Row],[Date]],"MMM-YY")</f>
        <v>Feb-25</v>
      </c>
      <c r="P77" s="10" t="str">
        <f>IF(Table1[[#This Row],[profit]]&gt;5000000,"High",IF(Table1[[#This Row],[profit]]&gt;3000000,"Medium","Low"))</f>
        <v>Low</v>
      </c>
      <c r="Q77" t="str">
        <f>IF(OR(Table1[[#This Row],[Status]]="Completed",Table1[[#This Row],[Status]]="Pending"),"Paid","no paid")</f>
        <v>Paid</v>
      </c>
    </row>
    <row r="78" spans="1:17" x14ac:dyDescent="0.25">
      <c r="A78" t="s">
        <v>129</v>
      </c>
      <c r="B78" s="1">
        <v>45736</v>
      </c>
      <c r="C78" t="s">
        <v>18</v>
      </c>
      <c r="D78" t="s">
        <v>19</v>
      </c>
      <c r="E78">
        <v>2000</v>
      </c>
      <c r="F78">
        <v>56</v>
      </c>
      <c r="G78">
        <f>Table1[[#This Row],[Price]]*Table1[[#This Row],[Quantity]]</f>
        <v>112000</v>
      </c>
      <c r="H78" t="s">
        <v>56</v>
      </c>
      <c r="I78" t="s">
        <v>37</v>
      </c>
      <c r="J78" t="s">
        <v>30</v>
      </c>
      <c r="K78" t="s">
        <v>22</v>
      </c>
      <c r="L78">
        <f>Table1[[#This Row],[Total Sales]]*Table1[[#This Row],[Quantity]]</f>
        <v>6272000</v>
      </c>
      <c r="N78" t="str">
        <f>IF(AND(Table1[[#This Row],[Price]]&gt;50,Table1[[#This Row],[Category]]="Footwear"),"High","Low")</f>
        <v>Low</v>
      </c>
      <c r="O78" t="str">
        <f>TEXT(Table1[[#This Row],[Date]],"MMM-YY")</f>
        <v>Mar-25</v>
      </c>
      <c r="P78" s="10" t="str">
        <f>IF(Table1[[#This Row],[profit]]&gt;5000000,"High",IF(Table1[[#This Row],[profit]]&gt;3000000,"Medium","Low"))</f>
        <v>High</v>
      </c>
      <c r="Q78" t="str">
        <f>IF(OR(Table1[[#This Row],[Status]]="Completed",Table1[[#This Row],[Status]]="Pending"),"Paid","no paid")</f>
        <v>Paid</v>
      </c>
    </row>
    <row r="79" spans="1:17" x14ac:dyDescent="0.25">
      <c r="A79" t="s">
        <v>130</v>
      </c>
      <c r="B79" s="1">
        <v>45734</v>
      </c>
      <c r="C79" t="s">
        <v>32</v>
      </c>
      <c r="D79" t="s">
        <v>19</v>
      </c>
      <c r="E79">
        <v>3000</v>
      </c>
      <c r="F79">
        <v>72</v>
      </c>
      <c r="G79">
        <f>Table1[[#This Row],[Price]]*Table1[[#This Row],[Quantity]]</f>
        <v>216000</v>
      </c>
      <c r="H79" t="s">
        <v>14</v>
      </c>
      <c r="I79" t="s">
        <v>67</v>
      </c>
      <c r="J79" t="s">
        <v>57</v>
      </c>
      <c r="K79" t="s">
        <v>22</v>
      </c>
      <c r="L79">
        <f>Table1[[#This Row],[Total Sales]]*Table1[[#This Row],[Quantity]]</f>
        <v>15552000</v>
      </c>
      <c r="N79" t="str">
        <f>IF(AND(Table1[[#This Row],[Price]]&gt;50,Table1[[#This Row],[Category]]="Footwear"),"High","Low")</f>
        <v>Low</v>
      </c>
      <c r="O79" t="str">
        <f>TEXT(Table1[[#This Row],[Date]],"MMM-YY")</f>
        <v>Mar-25</v>
      </c>
      <c r="P79" s="10" t="str">
        <f>IF(Table1[[#This Row],[profit]]&gt;5000000,"High",IF(Table1[[#This Row],[profit]]&gt;3000000,"Medium","Low"))</f>
        <v>High</v>
      </c>
      <c r="Q79" t="str">
        <f>IF(OR(Table1[[#This Row],[Status]]="Completed",Table1[[#This Row],[Status]]="Pending"),"Paid","no paid")</f>
        <v>Paid</v>
      </c>
    </row>
    <row r="80" spans="1:17" x14ac:dyDescent="0.25">
      <c r="A80" t="s">
        <v>131</v>
      </c>
      <c r="B80" s="1">
        <v>45725</v>
      </c>
      <c r="C80" t="s">
        <v>12</v>
      </c>
      <c r="D80" t="s">
        <v>13</v>
      </c>
      <c r="E80">
        <v>5000</v>
      </c>
      <c r="F80">
        <v>12</v>
      </c>
      <c r="G80">
        <f>Table1[[#This Row],[Price]]*Table1[[#This Row],[Quantity]]</f>
        <v>60000</v>
      </c>
      <c r="H80" t="s">
        <v>20</v>
      </c>
      <c r="I80" t="s">
        <v>25</v>
      </c>
      <c r="J80" t="s">
        <v>57</v>
      </c>
      <c r="K80" t="s">
        <v>39</v>
      </c>
      <c r="L80">
        <f>Table1[[#This Row],[Total Sales]]*Table1[[#This Row],[Quantity]]</f>
        <v>720000</v>
      </c>
      <c r="N80" t="str">
        <f>IF(AND(Table1[[#This Row],[Price]]&gt;50,Table1[[#This Row],[Category]]="Footwear"),"High","Low")</f>
        <v>High</v>
      </c>
      <c r="O80" t="str">
        <f>TEXT(Table1[[#This Row],[Date]],"MMM-YY")</f>
        <v>Mar-25</v>
      </c>
      <c r="P80" s="10" t="str">
        <f>IF(Table1[[#This Row],[profit]]&gt;5000000,"High",IF(Table1[[#This Row],[profit]]&gt;3000000,"Medium","Low"))</f>
        <v>Low</v>
      </c>
      <c r="Q80" t="str">
        <f>IF(OR(Table1[[#This Row],[Status]]="Completed",Table1[[#This Row],[Status]]="Pending"),"Paid","no paid")</f>
        <v>Paid</v>
      </c>
    </row>
    <row r="81" spans="1:17" x14ac:dyDescent="0.25">
      <c r="A81" t="s">
        <v>132</v>
      </c>
      <c r="B81" s="1">
        <v>45711</v>
      </c>
      <c r="C81" t="s">
        <v>12</v>
      </c>
      <c r="D81" t="s">
        <v>13</v>
      </c>
      <c r="E81">
        <v>2000</v>
      </c>
      <c r="F81">
        <v>45</v>
      </c>
      <c r="G81">
        <f>Table1[[#This Row],[Price]]*Table1[[#This Row],[Quantity]]</f>
        <v>90000</v>
      </c>
      <c r="H81" t="s">
        <v>42</v>
      </c>
      <c r="I81" t="s">
        <v>21</v>
      </c>
      <c r="J81" t="s">
        <v>16</v>
      </c>
      <c r="K81" t="s">
        <v>39</v>
      </c>
      <c r="L81">
        <f>Table1[[#This Row],[Total Sales]]*Table1[[#This Row],[Quantity]]</f>
        <v>4050000</v>
      </c>
      <c r="N81" t="str">
        <f>IF(AND(Table1[[#This Row],[Price]]&gt;50,Table1[[#This Row],[Category]]="Footwear"),"High","Low")</f>
        <v>High</v>
      </c>
      <c r="O81" t="str">
        <f>TEXT(Table1[[#This Row],[Date]],"MMM-YY")</f>
        <v>Feb-25</v>
      </c>
      <c r="P81" s="10" t="str">
        <f>IF(Table1[[#This Row],[profit]]&gt;5000000,"High",IF(Table1[[#This Row],[profit]]&gt;3000000,"Medium","Low"))</f>
        <v>Medium</v>
      </c>
      <c r="Q81" t="str">
        <f>IF(OR(Table1[[#This Row],[Status]]="Completed",Table1[[#This Row],[Status]]="Pending"),"Paid","no paid")</f>
        <v>Paid</v>
      </c>
    </row>
    <row r="82" spans="1:17" x14ac:dyDescent="0.25">
      <c r="A82" t="s">
        <v>133</v>
      </c>
      <c r="B82" s="1">
        <v>45714</v>
      </c>
      <c r="C82" t="s">
        <v>18</v>
      </c>
      <c r="D82" t="s">
        <v>19</v>
      </c>
      <c r="E82">
        <v>2000</v>
      </c>
      <c r="F82">
        <v>67</v>
      </c>
      <c r="G82">
        <f>Table1[[#This Row],[Price]]*Table1[[#This Row],[Quantity]]</f>
        <v>134000</v>
      </c>
      <c r="H82" t="s">
        <v>53</v>
      </c>
      <c r="I82" t="s">
        <v>80</v>
      </c>
      <c r="J82" t="s">
        <v>38</v>
      </c>
      <c r="K82" t="s">
        <v>39</v>
      </c>
      <c r="L82">
        <f>Table1[[#This Row],[Total Sales]]*Table1[[#This Row],[Quantity]]</f>
        <v>8978000</v>
      </c>
      <c r="N82" t="str">
        <f>IF(AND(Table1[[#This Row],[Price]]&gt;50,Table1[[#This Row],[Category]]="Footwear"),"High","Low")</f>
        <v>Low</v>
      </c>
      <c r="O82" t="str">
        <f>TEXT(Table1[[#This Row],[Date]],"MMM-YY")</f>
        <v>Feb-25</v>
      </c>
      <c r="P82" s="10" t="str">
        <f>IF(Table1[[#This Row],[profit]]&gt;5000000,"High",IF(Table1[[#This Row],[profit]]&gt;3000000,"Medium","Low"))</f>
        <v>High</v>
      </c>
      <c r="Q82" t="str">
        <f>IF(OR(Table1[[#This Row],[Status]]="Completed",Table1[[#This Row],[Status]]="Pending"),"Paid","no paid")</f>
        <v>Paid</v>
      </c>
    </row>
    <row r="83" spans="1:17" x14ac:dyDescent="0.25">
      <c r="A83" t="s">
        <v>134</v>
      </c>
      <c r="B83" s="1">
        <v>45712</v>
      </c>
      <c r="C83" t="s">
        <v>41</v>
      </c>
      <c r="D83" t="s">
        <v>19</v>
      </c>
      <c r="E83">
        <v>1000</v>
      </c>
      <c r="F83">
        <v>23</v>
      </c>
      <c r="G83">
        <f>Table1[[#This Row],[Price]]*Table1[[#This Row],[Quantity]]</f>
        <v>23000</v>
      </c>
      <c r="H83" t="s">
        <v>79</v>
      </c>
      <c r="I83" t="s">
        <v>62</v>
      </c>
      <c r="J83" t="s">
        <v>16</v>
      </c>
      <c r="K83" t="s">
        <v>22</v>
      </c>
      <c r="L83">
        <f>Table1[[#This Row],[Total Sales]]*Table1[[#This Row],[Quantity]]</f>
        <v>529000</v>
      </c>
      <c r="N83" t="str">
        <f>IF(AND(Table1[[#This Row],[Price]]&gt;50,Table1[[#This Row],[Category]]="Footwear"),"High","Low")</f>
        <v>Low</v>
      </c>
      <c r="O83" t="str">
        <f>TEXT(Table1[[#This Row],[Date]],"MMM-YY")</f>
        <v>Feb-25</v>
      </c>
      <c r="P83" s="10" t="str">
        <f>IF(Table1[[#This Row],[profit]]&gt;5000000,"High",IF(Table1[[#This Row],[profit]]&gt;3000000,"Medium","Low"))</f>
        <v>Low</v>
      </c>
      <c r="Q83" t="str">
        <f>IF(OR(Table1[[#This Row],[Status]]="Completed",Table1[[#This Row],[Status]]="Pending"),"Paid","no paid")</f>
        <v>Paid</v>
      </c>
    </row>
    <row r="84" spans="1:17" x14ac:dyDescent="0.25">
      <c r="A84" t="s">
        <v>135</v>
      </c>
      <c r="B84" s="1">
        <v>45716</v>
      </c>
      <c r="C84" t="s">
        <v>59</v>
      </c>
      <c r="D84" t="s">
        <v>60</v>
      </c>
      <c r="E84">
        <v>500</v>
      </c>
      <c r="F84">
        <v>89</v>
      </c>
      <c r="G84">
        <f>Table1[[#This Row],[Price]]*Table1[[#This Row],[Quantity]]</f>
        <v>44500</v>
      </c>
      <c r="H84" t="s">
        <v>14</v>
      </c>
      <c r="I84" t="s">
        <v>37</v>
      </c>
      <c r="J84" t="s">
        <v>57</v>
      </c>
      <c r="K84" t="s">
        <v>22</v>
      </c>
      <c r="L84">
        <f>Table1[[#This Row],[Total Sales]]*Table1[[#This Row],[Quantity]]</f>
        <v>3960500</v>
      </c>
      <c r="N84" t="str">
        <f>IF(AND(Table1[[#This Row],[Price]]&gt;50,Table1[[#This Row],[Category]]="Footwear"),"High","Low")</f>
        <v>Low</v>
      </c>
      <c r="O84" t="str">
        <f>TEXT(Table1[[#This Row],[Date]],"MMM-YY")</f>
        <v>Feb-25</v>
      </c>
      <c r="P84" s="10" t="str">
        <f>IF(Table1[[#This Row],[profit]]&gt;5000000,"High",IF(Table1[[#This Row],[profit]]&gt;3000000,"Medium","Low"))</f>
        <v>Medium</v>
      </c>
      <c r="Q84" t="str">
        <f>IF(OR(Table1[[#This Row],[Status]]="Completed",Table1[[#This Row],[Status]]="Pending"),"Paid","no paid")</f>
        <v>Paid</v>
      </c>
    </row>
    <row r="85" spans="1:17" x14ac:dyDescent="0.25">
      <c r="A85" t="s">
        <v>136</v>
      </c>
      <c r="B85" s="1">
        <v>45702</v>
      </c>
      <c r="C85" t="s">
        <v>34</v>
      </c>
      <c r="D85" t="s">
        <v>35</v>
      </c>
      <c r="E85">
        <v>2000</v>
      </c>
      <c r="F85">
        <v>42</v>
      </c>
      <c r="G85">
        <f>Table1[[#This Row],[Price]]*Table1[[#This Row],[Quantity]]</f>
        <v>84000</v>
      </c>
      <c r="H85" t="s">
        <v>28</v>
      </c>
      <c r="I85" t="s">
        <v>45</v>
      </c>
      <c r="J85" t="s">
        <v>38</v>
      </c>
      <c r="K85" t="s">
        <v>39</v>
      </c>
      <c r="L85">
        <f>Table1[[#This Row],[Total Sales]]*Table1[[#This Row],[Quantity]]</f>
        <v>3528000</v>
      </c>
      <c r="N85" t="str">
        <f>IF(AND(Table1[[#This Row],[Price]]&gt;50,Table1[[#This Row],[Category]]="Footwear"),"High","Low")</f>
        <v>Low</v>
      </c>
      <c r="O85" t="str">
        <f>TEXT(Table1[[#This Row],[Date]],"MMM-YY")</f>
        <v>Feb-25</v>
      </c>
      <c r="P85" s="10" t="str">
        <f>IF(Table1[[#This Row],[profit]]&gt;5000000,"High",IF(Table1[[#This Row],[profit]]&gt;3000000,"Medium","Low"))</f>
        <v>Medium</v>
      </c>
      <c r="Q85" t="str">
        <f>IF(OR(Table1[[#This Row],[Status]]="Completed",Table1[[#This Row],[Status]]="Pending"),"Paid","no paid")</f>
        <v>Paid</v>
      </c>
    </row>
    <row r="86" spans="1:17" x14ac:dyDescent="0.25">
      <c r="A86" t="s">
        <v>137</v>
      </c>
      <c r="B86" s="1">
        <v>45694</v>
      </c>
      <c r="C86" t="s">
        <v>41</v>
      </c>
      <c r="D86" t="s">
        <v>19</v>
      </c>
      <c r="E86">
        <v>3000</v>
      </c>
      <c r="F86">
        <v>51</v>
      </c>
      <c r="G86">
        <f>Table1[[#This Row],[Price]]*Table1[[#This Row],[Quantity]]</f>
        <v>153000</v>
      </c>
      <c r="H86" t="s">
        <v>53</v>
      </c>
      <c r="I86" t="s">
        <v>37</v>
      </c>
      <c r="J86" t="s">
        <v>38</v>
      </c>
      <c r="K86" t="s">
        <v>22</v>
      </c>
      <c r="L86">
        <f>Table1[[#This Row],[Total Sales]]*Table1[[#This Row],[Quantity]]</f>
        <v>7803000</v>
      </c>
      <c r="N86" t="str">
        <f>IF(AND(Table1[[#This Row],[Price]]&gt;50,Table1[[#This Row],[Category]]="Footwear"),"High","Low")</f>
        <v>Low</v>
      </c>
      <c r="O86" t="str">
        <f>TEXT(Table1[[#This Row],[Date]],"MMM-YY")</f>
        <v>Feb-25</v>
      </c>
      <c r="P86" s="10" t="str">
        <f>IF(Table1[[#This Row],[profit]]&gt;5000000,"High",IF(Table1[[#This Row],[profit]]&gt;3000000,"Medium","Low"))</f>
        <v>High</v>
      </c>
      <c r="Q86" t="str">
        <f>IF(OR(Table1[[#This Row],[Status]]="Completed",Table1[[#This Row],[Status]]="Pending"),"Paid","no paid")</f>
        <v>Paid</v>
      </c>
    </row>
    <row r="87" spans="1:17" x14ac:dyDescent="0.25">
      <c r="A87" t="s">
        <v>138</v>
      </c>
      <c r="B87" s="1">
        <v>45713</v>
      </c>
      <c r="C87" t="s">
        <v>32</v>
      </c>
      <c r="D87" t="s">
        <v>19</v>
      </c>
      <c r="E87">
        <v>5000</v>
      </c>
      <c r="F87">
        <v>63</v>
      </c>
      <c r="G87">
        <f>Table1[[#This Row],[Price]]*Table1[[#This Row],[Quantity]]</f>
        <v>315000</v>
      </c>
      <c r="H87" t="s">
        <v>79</v>
      </c>
      <c r="I87" t="s">
        <v>29</v>
      </c>
      <c r="J87" t="s">
        <v>38</v>
      </c>
      <c r="K87" t="s">
        <v>39</v>
      </c>
      <c r="L87">
        <f>Table1[[#This Row],[Total Sales]]*Table1[[#This Row],[Quantity]]</f>
        <v>19845000</v>
      </c>
      <c r="N87" t="str">
        <f>IF(AND(Table1[[#This Row],[Price]]&gt;50,Table1[[#This Row],[Category]]="Footwear"),"High","Low")</f>
        <v>Low</v>
      </c>
      <c r="O87" t="str">
        <f>TEXT(Table1[[#This Row],[Date]],"MMM-YY")</f>
        <v>Feb-25</v>
      </c>
      <c r="P87" s="10" t="str">
        <f>IF(Table1[[#This Row],[profit]]&gt;5000000,"High",IF(Table1[[#This Row],[profit]]&gt;3000000,"Medium","Low"))</f>
        <v>High</v>
      </c>
      <c r="Q87" t="str">
        <f>IF(OR(Table1[[#This Row],[Status]]="Completed",Table1[[#This Row],[Status]]="Pending"),"Paid","no paid")</f>
        <v>Paid</v>
      </c>
    </row>
    <row r="88" spans="1:17" x14ac:dyDescent="0.25">
      <c r="A88" t="s">
        <v>139</v>
      </c>
      <c r="B88" s="1">
        <v>45729</v>
      </c>
      <c r="C88" t="s">
        <v>12</v>
      </c>
      <c r="D88" t="s">
        <v>13</v>
      </c>
      <c r="E88">
        <v>2000</v>
      </c>
      <c r="F88">
        <v>35</v>
      </c>
      <c r="G88">
        <f>Table1[[#This Row],[Price]]*Table1[[#This Row],[Quantity]]</f>
        <v>70000</v>
      </c>
      <c r="H88" t="s">
        <v>14</v>
      </c>
      <c r="I88" t="s">
        <v>43</v>
      </c>
      <c r="J88" t="s">
        <v>16</v>
      </c>
      <c r="K88" t="s">
        <v>22</v>
      </c>
      <c r="L88">
        <f>Table1[[#This Row],[Total Sales]]*Table1[[#This Row],[Quantity]]</f>
        <v>2450000</v>
      </c>
      <c r="N88" t="str">
        <f>IF(AND(Table1[[#This Row],[Price]]&gt;50,Table1[[#This Row],[Category]]="Footwear"),"High","Low")</f>
        <v>High</v>
      </c>
      <c r="O88" t="str">
        <f>TEXT(Table1[[#This Row],[Date]],"MMM-YY")</f>
        <v>Mar-25</v>
      </c>
      <c r="P88" s="10" t="str">
        <f>IF(Table1[[#This Row],[profit]]&gt;5000000,"High",IF(Table1[[#This Row],[profit]]&gt;3000000,"Medium","Low"))</f>
        <v>Low</v>
      </c>
      <c r="Q88" t="str">
        <f>IF(OR(Table1[[#This Row],[Status]]="Completed",Table1[[#This Row],[Status]]="Pending"),"Paid","no paid")</f>
        <v>Paid</v>
      </c>
    </row>
    <row r="89" spans="1:17" x14ac:dyDescent="0.25">
      <c r="A89" t="s">
        <v>140</v>
      </c>
      <c r="B89" s="1">
        <v>45694</v>
      </c>
      <c r="C89" t="s">
        <v>64</v>
      </c>
      <c r="D89" t="s">
        <v>60</v>
      </c>
      <c r="E89">
        <v>2000</v>
      </c>
      <c r="F89">
        <v>44</v>
      </c>
      <c r="G89">
        <f>Table1[[#This Row],[Price]]*Table1[[#This Row],[Quantity]]</f>
        <v>88000</v>
      </c>
      <c r="H89" t="s">
        <v>71</v>
      </c>
      <c r="I89" t="s">
        <v>62</v>
      </c>
      <c r="J89" t="s">
        <v>16</v>
      </c>
      <c r="K89" t="s">
        <v>39</v>
      </c>
      <c r="L89">
        <f>Table1[[#This Row],[Total Sales]]*Table1[[#This Row],[Quantity]]</f>
        <v>3872000</v>
      </c>
      <c r="N89" t="str">
        <f>IF(AND(Table1[[#This Row],[Price]]&gt;50,Table1[[#This Row],[Category]]="Footwear"),"High","Low")</f>
        <v>Low</v>
      </c>
      <c r="O89" t="str">
        <f>TEXT(Table1[[#This Row],[Date]],"MMM-YY")</f>
        <v>Feb-25</v>
      </c>
      <c r="P89" s="10" t="str">
        <f>IF(Table1[[#This Row],[profit]]&gt;5000000,"High",IF(Table1[[#This Row],[profit]]&gt;3000000,"Medium","Low"))</f>
        <v>Medium</v>
      </c>
      <c r="Q89" t="str">
        <f>IF(OR(Table1[[#This Row],[Status]]="Completed",Table1[[#This Row],[Status]]="Pending"),"Paid","no paid")</f>
        <v>Paid</v>
      </c>
    </row>
    <row r="90" spans="1:17" x14ac:dyDescent="0.25">
      <c r="A90" t="s">
        <v>141</v>
      </c>
      <c r="B90" s="1">
        <v>45742</v>
      </c>
      <c r="C90" t="s">
        <v>12</v>
      </c>
      <c r="D90" t="s">
        <v>13</v>
      </c>
      <c r="E90">
        <v>1000</v>
      </c>
      <c r="F90">
        <v>22</v>
      </c>
      <c r="G90">
        <f>Table1[[#This Row],[Price]]*Table1[[#This Row],[Quantity]]</f>
        <v>22000</v>
      </c>
      <c r="H90" t="s">
        <v>14</v>
      </c>
      <c r="I90" t="s">
        <v>67</v>
      </c>
      <c r="J90" t="s">
        <v>30</v>
      </c>
      <c r="K90" t="s">
        <v>22</v>
      </c>
      <c r="L90">
        <f>Table1[[#This Row],[Total Sales]]*Table1[[#This Row],[Quantity]]</f>
        <v>484000</v>
      </c>
      <c r="N90" t="str">
        <f>IF(AND(Table1[[#This Row],[Price]]&gt;50,Table1[[#This Row],[Category]]="Footwear"),"High","Low")</f>
        <v>High</v>
      </c>
      <c r="O90" t="str">
        <f>TEXT(Table1[[#This Row],[Date]],"MMM-YY")</f>
        <v>Mar-25</v>
      </c>
      <c r="P90" s="10" t="str">
        <f>IF(Table1[[#This Row],[profit]]&gt;5000000,"High",IF(Table1[[#This Row],[profit]]&gt;3000000,"Medium","Low"))</f>
        <v>Low</v>
      </c>
      <c r="Q90" t="str">
        <f>IF(OR(Table1[[#This Row],[Status]]="Completed",Table1[[#This Row],[Status]]="Pending"),"Paid","no paid")</f>
        <v>Paid</v>
      </c>
    </row>
    <row r="91" spans="1:17" x14ac:dyDescent="0.25">
      <c r="A91" t="s">
        <v>142</v>
      </c>
      <c r="B91" s="1">
        <v>45740</v>
      </c>
      <c r="C91" t="s">
        <v>32</v>
      </c>
      <c r="D91" t="s">
        <v>19</v>
      </c>
      <c r="E91">
        <v>500</v>
      </c>
      <c r="F91">
        <v>16</v>
      </c>
      <c r="G91">
        <f>Table1[[#This Row],[Price]]*Table1[[#This Row],[Quantity]]</f>
        <v>8000</v>
      </c>
      <c r="H91" t="s">
        <v>20</v>
      </c>
      <c r="I91" t="s">
        <v>37</v>
      </c>
      <c r="J91" t="s">
        <v>26</v>
      </c>
      <c r="K91" t="s">
        <v>22</v>
      </c>
      <c r="L91">
        <f>Table1[[#This Row],[Total Sales]]*Table1[[#This Row],[Quantity]]</f>
        <v>128000</v>
      </c>
      <c r="N91" t="str">
        <f>IF(AND(Table1[[#This Row],[Price]]&gt;50,Table1[[#This Row],[Category]]="Footwear"),"High","Low")</f>
        <v>Low</v>
      </c>
      <c r="O91" t="str">
        <f>TEXT(Table1[[#This Row],[Date]],"MMM-YY")</f>
        <v>Mar-25</v>
      </c>
      <c r="P91" s="10" t="str">
        <f>IF(Table1[[#This Row],[profit]]&gt;5000000,"High",IF(Table1[[#This Row],[profit]]&gt;3000000,"Medium","Low"))</f>
        <v>Low</v>
      </c>
      <c r="Q91" t="str">
        <f>IF(OR(Table1[[#This Row],[Status]]="Completed",Table1[[#This Row],[Status]]="Pending"),"Paid","no paid")</f>
        <v>Paid</v>
      </c>
    </row>
    <row r="92" spans="1:17" x14ac:dyDescent="0.25">
      <c r="A92" t="s">
        <v>143</v>
      </c>
      <c r="B92" s="1">
        <v>45691</v>
      </c>
      <c r="C92" t="s">
        <v>55</v>
      </c>
      <c r="D92" t="s">
        <v>19</v>
      </c>
      <c r="E92">
        <v>2000</v>
      </c>
      <c r="F92">
        <v>12</v>
      </c>
      <c r="G92">
        <f>Table1[[#This Row],[Price]]*Table1[[#This Row],[Quantity]]</f>
        <v>24000</v>
      </c>
      <c r="H92" t="s">
        <v>56</v>
      </c>
      <c r="I92" t="s">
        <v>37</v>
      </c>
      <c r="J92" t="s">
        <v>57</v>
      </c>
      <c r="K92" t="s">
        <v>22</v>
      </c>
      <c r="L92">
        <f>Table1[[#This Row],[Total Sales]]*Table1[[#This Row],[Quantity]]</f>
        <v>288000</v>
      </c>
      <c r="N92" t="str">
        <f>IF(AND(Table1[[#This Row],[Price]]&gt;50,Table1[[#This Row],[Category]]="Footwear"),"High","Low")</f>
        <v>Low</v>
      </c>
      <c r="O92" t="str">
        <f>TEXT(Table1[[#This Row],[Date]],"MMM-YY")</f>
        <v>Feb-25</v>
      </c>
      <c r="P92" s="10" t="str">
        <f>IF(Table1[[#This Row],[profit]]&gt;5000000,"High",IF(Table1[[#This Row],[profit]]&gt;3000000,"Medium","Low"))</f>
        <v>Low</v>
      </c>
      <c r="Q92" t="str">
        <f>IF(OR(Table1[[#This Row],[Status]]="Completed",Table1[[#This Row],[Status]]="Pending"),"Paid","no paid")</f>
        <v>Paid</v>
      </c>
    </row>
    <row r="93" spans="1:17" x14ac:dyDescent="0.25">
      <c r="A93" t="s">
        <v>144</v>
      </c>
      <c r="B93" s="1">
        <v>45731</v>
      </c>
      <c r="C93" t="s">
        <v>41</v>
      </c>
      <c r="D93" t="s">
        <v>19</v>
      </c>
      <c r="E93">
        <v>3000</v>
      </c>
      <c r="F93">
        <v>33</v>
      </c>
      <c r="G93">
        <f>Table1[[#This Row],[Price]]*Table1[[#This Row],[Quantity]]</f>
        <v>99000</v>
      </c>
      <c r="H93" t="s">
        <v>28</v>
      </c>
      <c r="I93" t="s">
        <v>45</v>
      </c>
      <c r="J93" t="s">
        <v>38</v>
      </c>
      <c r="K93" t="s">
        <v>39</v>
      </c>
      <c r="L93">
        <f>Table1[[#This Row],[Total Sales]]*Table1[[#This Row],[Quantity]]</f>
        <v>3267000</v>
      </c>
      <c r="N93" t="str">
        <f>IF(AND(Table1[[#This Row],[Price]]&gt;50,Table1[[#This Row],[Category]]="Footwear"),"High","Low")</f>
        <v>Low</v>
      </c>
      <c r="O93" t="str">
        <f>TEXT(Table1[[#This Row],[Date]],"MMM-YY")</f>
        <v>Mar-25</v>
      </c>
      <c r="P93" s="10" t="str">
        <f>IF(Table1[[#This Row],[profit]]&gt;5000000,"High",IF(Table1[[#This Row],[profit]]&gt;3000000,"Medium","Low"))</f>
        <v>Medium</v>
      </c>
      <c r="Q93" t="str">
        <f>IF(OR(Table1[[#This Row],[Status]]="Completed",Table1[[#This Row],[Status]]="Pending"),"Paid","no paid")</f>
        <v>Paid</v>
      </c>
    </row>
    <row r="94" spans="1:17" x14ac:dyDescent="0.25">
      <c r="A94" t="s">
        <v>145</v>
      </c>
      <c r="B94" s="1">
        <v>45722</v>
      </c>
      <c r="C94" t="s">
        <v>64</v>
      </c>
      <c r="D94" t="s">
        <v>60</v>
      </c>
      <c r="E94">
        <v>5000</v>
      </c>
      <c r="F94">
        <v>54</v>
      </c>
      <c r="G94">
        <f>Table1[[#This Row],[Price]]*Table1[[#This Row],[Quantity]]</f>
        <v>270000</v>
      </c>
      <c r="H94" t="s">
        <v>50</v>
      </c>
      <c r="I94" t="s">
        <v>25</v>
      </c>
      <c r="J94" t="s">
        <v>38</v>
      </c>
      <c r="K94" t="s">
        <v>39</v>
      </c>
      <c r="L94">
        <f>Table1[[#This Row],[Total Sales]]*Table1[[#This Row],[Quantity]]</f>
        <v>14580000</v>
      </c>
      <c r="N94" t="str">
        <f>IF(AND(Table1[[#This Row],[Price]]&gt;50,Table1[[#This Row],[Category]]="Footwear"),"High","Low")</f>
        <v>Low</v>
      </c>
      <c r="O94" t="str">
        <f>TEXT(Table1[[#This Row],[Date]],"MMM-YY")</f>
        <v>Mar-25</v>
      </c>
      <c r="P94" s="10" t="str">
        <f>IF(Table1[[#This Row],[profit]]&gt;5000000,"High",IF(Table1[[#This Row],[profit]]&gt;3000000,"Medium","Low"))</f>
        <v>High</v>
      </c>
      <c r="Q94" t="str">
        <f>IF(OR(Table1[[#This Row],[Status]]="Completed",Table1[[#This Row],[Status]]="Pending"),"Paid","no paid")</f>
        <v>Paid</v>
      </c>
    </row>
    <row r="95" spans="1:17" x14ac:dyDescent="0.25">
      <c r="A95" t="s">
        <v>146</v>
      </c>
      <c r="B95" s="1">
        <v>45741</v>
      </c>
      <c r="C95" t="s">
        <v>52</v>
      </c>
      <c r="D95" t="s">
        <v>35</v>
      </c>
      <c r="E95">
        <v>2000</v>
      </c>
      <c r="F95">
        <v>56</v>
      </c>
      <c r="G95">
        <f>Table1[[#This Row],[Price]]*Table1[[#This Row],[Quantity]]</f>
        <v>112000</v>
      </c>
      <c r="H95" t="s">
        <v>56</v>
      </c>
      <c r="I95" t="s">
        <v>62</v>
      </c>
      <c r="J95" t="s">
        <v>30</v>
      </c>
      <c r="K95" t="s">
        <v>39</v>
      </c>
      <c r="L95">
        <f>Table1[[#This Row],[Total Sales]]*Table1[[#This Row],[Quantity]]</f>
        <v>6272000</v>
      </c>
      <c r="N95" t="str">
        <f>IF(AND(Table1[[#This Row],[Price]]&gt;50,Table1[[#This Row],[Category]]="Footwear"),"High","Low")</f>
        <v>Low</v>
      </c>
      <c r="O95" t="str">
        <f>TEXT(Table1[[#This Row],[Date]],"MMM-YY")</f>
        <v>Mar-25</v>
      </c>
      <c r="P95" s="10" t="str">
        <f>IF(Table1[[#This Row],[profit]]&gt;5000000,"High",IF(Table1[[#This Row],[profit]]&gt;3000000,"Medium","Low"))</f>
        <v>High</v>
      </c>
      <c r="Q95" t="str">
        <f>IF(OR(Table1[[#This Row],[Status]]="Completed",Table1[[#This Row],[Status]]="Pending"),"Paid","no paid")</f>
        <v>Paid</v>
      </c>
    </row>
    <row r="96" spans="1:17" x14ac:dyDescent="0.25">
      <c r="A96" t="s">
        <v>147</v>
      </c>
      <c r="B96" s="1">
        <v>45705</v>
      </c>
      <c r="C96" t="s">
        <v>32</v>
      </c>
      <c r="D96" t="s">
        <v>19</v>
      </c>
      <c r="E96">
        <v>2000</v>
      </c>
      <c r="F96">
        <v>72</v>
      </c>
      <c r="G96">
        <f>Table1[[#This Row],[Price]]*Table1[[#This Row],[Quantity]]</f>
        <v>144000</v>
      </c>
      <c r="H96" t="s">
        <v>71</v>
      </c>
      <c r="I96" t="s">
        <v>15</v>
      </c>
      <c r="J96" t="s">
        <v>16</v>
      </c>
      <c r="K96" t="s">
        <v>22</v>
      </c>
      <c r="L96">
        <f>Table1[[#This Row],[Total Sales]]*Table1[[#This Row],[Quantity]]</f>
        <v>10368000</v>
      </c>
      <c r="N96" t="str">
        <f>IF(AND(Table1[[#This Row],[Price]]&gt;50,Table1[[#This Row],[Category]]="Footwear"),"High","Low")</f>
        <v>Low</v>
      </c>
      <c r="O96" t="str">
        <f>TEXT(Table1[[#This Row],[Date]],"MMM-YY")</f>
        <v>Feb-25</v>
      </c>
      <c r="P96" s="10" t="str">
        <f>IF(Table1[[#This Row],[profit]]&gt;5000000,"High",IF(Table1[[#This Row],[profit]]&gt;3000000,"Medium","Low"))</f>
        <v>High</v>
      </c>
      <c r="Q96" t="str">
        <f>IF(OR(Table1[[#This Row],[Status]]="Completed",Table1[[#This Row],[Status]]="Pending"),"Paid","no paid")</f>
        <v>Paid</v>
      </c>
    </row>
    <row r="97" spans="1:17" x14ac:dyDescent="0.25">
      <c r="A97" t="s">
        <v>148</v>
      </c>
      <c r="B97" s="1">
        <v>45746</v>
      </c>
      <c r="C97" t="s">
        <v>32</v>
      </c>
      <c r="D97" t="s">
        <v>19</v>
      </c>
      <c r="E97">
        <v>1000</v>
      </c>
      <c r="F97">
        <v>12</v>
      </c>
      <c r="G97">
        <f>Table1[[#This Row],[Price]]*Table1[[#This Row],[Quantity]]</f>
        <v>12000</v>
      </c>
      <c r="H97" t="s">
        <v>79</v>
      </c>
      <c r="I97" t="s">
        <v>15</v>
      </c>
      <c r="J97" t="s">
        <v>26</v>
      </c>
      <c r="K97" t="s">
        <v>22</v>
      </c>
      <c r="L97">
        <f>Table1[[#This Row],[Total Sales]]*Table1[[#This Row],[Quantity]]</f>
        <v>144000</v>
      </c>
      <c r="N97" t="str">
        <f>IF(AND(Table1[[#This Row],[Price]]&gt;50,Table1[[#This Row],[Category]]="Footwear"),"High","Low")</f>
        <v>Low</v>
      </c>
      <c r="O97" t="str">
        <f>TEXT(Table1[[#This Row],[Date]],"MMM-YY")</f>
        <v>Mar-25</v>
      </c>
      <c r="P97" s="10" t="str">
        <f>IF(Table1[[#This Row],[profit]]&gt;5000000,"High",IF(Table1[[#This Row],[profit]]&gt;3000000,"Medium","Low"))</f>
        <v>Low</v>
      </c>
      <c r="Q97" t="str">
        <f>IF(OR(Table1[[#This Row],[Status]]="Completed",Table1[[#This Row],[Status]]="Pending"),"Paid","no paid")</f>
        <v>Paid</v>
      </c>
    </row>
    <row r="98" spans="1:17" x14ac:dyDescent="0.25">
      <c r="A98" t="s">
        <v>149</v>
      </c>
      <c r="B98" s="1">
        <v>45741</v>
      </c>
      <c r="C98" t="s">
        <v>48</v>
      </c>
      <c r="D98" t="s">
        <v>49</v>
      </c>
      <c r="E98">
        <v>500</v>
      </c>
      <c r="F98">
        <v>45</v>
      </c>
      <c r="G98">
        <f>Table1[[#This Row],[Price]]*Table1[[#This Row],[Quantity]]</f>
        <v>22500</v>
      </c>
      <c r="H98" t="s">
        <v>28</v>
      </c>
      <c r="I98" t="s">
        <v>80</v>
      </c>
      <c r="J98" t="s">
        <v>26</v>
      </c>
      <c r="K98" t="s">
        <v>39</v>
      </c>
      <c r="L98">
        <f>Table1[[#This Row],[Total Sales]]*Table1[[#This Row],[Quantity]]</f>
        <v>1012500</v>
      </c>
      <c r="N98" t="str">
        <f>IF(AND(Table1[[#This Row],[Price]]&gt;50,Table1[[#This Row],[Category]]="Footwear"),"High","Low")</f>
        <v>Low</v>
      </c>
      <c r="O98" t="str">
        <f>TEXT(Table1[[#This Row],[Date]],"MMM-YY")</f>
        <v>Mar-25</v>
      </c>
      <c r="P98" s="10" t="str">
        <f>IF(Table1[[#This Row],[profit]]&gt;5000000,"High",IF(Table1[[#This Row],[profit]]&gt;3000000,"Medium","Low"))</f>
        <v>Low</v>
      </c>
      <c r="Q98" t="str">
        <f>IF(OR(Table1[[#This Row],[Status]]="Completed",Table1[[#This Row],[Status]]="Pending"),"Paid","no paid")</f>
        <v>Paid</v>
      </c>
    </row>
    <row r="99" spans="1:17" x14ac:dyDescent="0.25">
      <c r="A99" t="s">
        <v>150</v>
      </c>
      <c r="B99" s="1">
        <v>45702</v>
      </c>
      <c r="C99" t="s">
        <v>32</v>
      </c>
      <c r="D99" t="s">
        <v>19</v>
      </c>
      <c r="E99">
        <v>2000</v>
      </c>
      <c r="F99">
        <v>67</v>
      </c>
      <c r="G99">
        <f>Table1[[#This Row],[Price]]*Table1[[#This Row],[Quantity]]</f>
        <v>134000</v>
      </c>
      <c r="H99" t="s">
        <v>71</v>
      </c>
      <c r="I99" t="s">
        <v>43</v>
      </c>
      <c r="J99" t="s">
        <v>38</v>
      </c>
      <c r="K99" t="s">
        <v>22</v>
      </c>
      <c r="L99">
        <f>Table1[[#This Row],[Total Sales]]*Table1[[#This Row],[Quantity]]</f>
        <v>8978000</v>
      </c>
      <c r="N99" t="str">
        <f>IF(AND(Table1[[#This Row],[Price]]&gt;50,Table1[[#This Row],[Category]]="Footwear"),"High","Low")</f>
        <v>Low</v>
      </c>
      <c r="O99" t="str">
        <f>TEXT(Table1[[#This Row],[Date]],"MMM-YY")</f>
        <v>Feb-25</v>
      </c>
      <c r="P99" s="10" t="str">
        <f>IF(Table1[[#This Row],[profit]]&gt;5000000,"High",IF(Table1[[#This Row],[profit]]&gt;3000000,"Medium","Low"))</f>
        <v>High</v>
      </c>
      <c r="Q99" t="str">
        <f>IF(OR(Table1[[#This Row],[Status]]="Completed",Table1[[#This Row],[Status]]="Pending"),"Paid","no paid")</f>
        <v>Paid</v>
      </c>
    </row>
    <row r="100" spans="1:17" x14ac:dyDescent="0.25">
      <c r="A100" t="s">
        <v>151</v>
      </c>
      <c r="B100" s="1">
        <v>45706</v>
      </c>
      <c r="C100" t="s">
        <v>59</v>
      </c>
      <c r="D100" t="s">
        <v>60</v>
      </c>
      <c r="E100">
        <v>3000</v>
      </c>
      <c r="F100">
        <v>23</v>
      </c>
      <c r="G100">
        <f>Table1[[#This Row],[Price]]*Table1[[#This Row],[Quantity]]</f>
        <v>69000</v>
      </c>
      <c r="H100" t="s">
        <v>53</v>
      </c>
      <c r="I100" t="s">
        <v>62</v>
      </c>
      <c r="J100" t="s">
        <v>16</v>
      </c>
      <c r="K100" t="s">
        <v>39</v>
      </c>
      <c r="L100">
        <f>Table1[[#This Row],[Total Sales]]*Table1[[#This Row],[Quantity]]</f>
        <v>1587000</v>
      </c>
      <c r="N100" t="str">
        <f>IF(AND(Table1[[#This Row],[Price]]&gt;50,Table1[[#This Row],[Category]]="Footwear"),"High","Low")</f>
        <v>Low</v>
      </c>
      <c r="O100" t="str">
        <f>TEXT(Table1[[#This Row],[Date]],"MMM-YY")</f>
        <v>Feb-25</v>
      </c>
      <c r="P100" s="10" t="str">
        <f>IF(Table1[[#This Row],[profit]]&gt;5000000,"High",IF(Table1[[#This Row],[profit]]&gt;3000000,"Medium","Low"))</f>
        <v>Low</v>
      </c>
      <c r="Q100" t="str">
        <f>IF(OR(Table1[[#This Row],[Status]]="Completed",Table1[[#This Row],[Status]]="Pending"),"Paid","no paid")</f>
        <v>Paid</v>
      </c>
    </row>
    <row r="101" spans="1:17" x14ac:dyDescent="0.25">
      <c r="A101" t="s">
        <v>152</v>
      </c>
      <c r="B101" s="1">
        <v>45701</v>
      </c>
      <c r="C101" t="s">
        <v>12</v>
      </c>
      <c r="D101" t="s">
        <v>13</v>
      </c>
      <c r="E101">
        <v>5000</v>
      </c>
      <c r="F101">
        <v>89</v>
      </c>
      <c r="G101">
        <f>Table1[[#This Row],[Price]]*Table1[[#This Row],[Quantity]]</f>
        <v>445000</v>
      </c>
      <c r="H101" t="s">
        <v>79</v>
      </c>
      <c r="I101" t="s">
        <v>37</v>
      </c>
      <c r="J101" t="s">
        <v>57</v>
      </c>
      <c r="K101" t="s">
        <v>39</v>
      </c>
      <c r="L101">
        <f>Table1[[#This Row],[Total Sales]]*Table1[[#This Row],[Quantity]]</f>
        <v>39605000</v>
      </c>
      <c r="N101" t="str">
        <f>IF(AND(Table1[[#This Row],[Price]]&gt;50,Table1[[#This Row],[Category]]="Footwear"),"High","Low")</f>
        <v>High</v>
      </c>
      <c r="O101" t="str">
        <f>TEXT(Table1[[#This Row],[Date]],"MMM-YY")</f>
        <v>Feb-25</v>
      </c>
      <c r="P101" s="10" t="str">
        <f>IF(Table1[[#This Row],[profit]]&gt;5000000,"High",IF(Table1[[#This Row],[profit]]&gt;3000000,"Medium","Low"))</f>
        <v>High</v>
      </c>
      <c r="Q101" t="str">
        <f>IF(OR(Table1[[#This Row],[Status]]="Completed",Table1[[#This Row],[Status]]="Pending"),"Paid","no paid")</f>
        <v>Paid</v>
      </c>
    </row>
    <row r="102" spans="1:17" x14ac:dyDescent="0.25">
      <c r="A102" t="s">
        <v>153</v>
      </c>
      <c r="B102" s="1">
        <v>45708</v>
      </c>
      <c r="C102" t="s">
        <v>48</v>
      </c>
      <c r="D102" t="s">
        <v>49</v>
      </c>
      <c r="E102">
        <v>2000</v>
      </c>
      <c r="F102">
        <v>42</v>
      </c>
      <c r="G102">
        <f>Table1[[#This Row],[Price]]*Table1[[#This Row],[Quantity]]</f>
        <v>84000</v>
      </c>
      <c r="H102" t="s">
        <v>24</v>
      </c>
      <c r="I102" t="s">
        <v>25</v>
      </c>
      <c r="J102" t="s">
        <v>38</v>
      </c>
      <c r="K102" t="s">
        <v>22</v>
      </c>
      <c r="L102">
        <f>Table1[[#This Row],[Total Sales]]*Table1[[#This Row],[Quantity]]</f>
        <v>3528000</v>
      </c>
      <c r="N102" t="str">
        <f>IF(AND(Table1[[#This Row],[Price]]&gt;50,Table1[[#This Row],[Category]]="Footwear"),"High","Low")</f>
        <v>Low</v>
      </c>
      <c r="O102" t="str">
        <f>TEXT(Table1[[#This Row],[Date]],"MMM-YY")</f>
        <v>Feb-25</v>
      </c>
      <c r="P102" s="10" t="str">
        <f>IF(Table1[[#This Row],[profit]]&gt;5000000,"High",IF(Table1[[#This Row],[profit]]&gt;3000000,"Medium","Low"))</f>
        <v>Medium</v>
      </c>
      <c r="Q102" t="str">
        <f>IF(OR(Table1[[#This Row],[Status]]="Completed",Table1[[#This Row],[Status]]="Pending"),"Paid","no paid")</f>
        <v>Paid</v>
      </c>
    </row>
    <row r="103" spans="1:17" x14ac:dyDescent="0.25">
      <c r="A103" t="s">
        <v>154</v>
      </c>
      <c r="B103" s="1">
        <v>45716</v>
      </c>
      <c r="C103" t="s">
        <v>41</v>
      </c>
      <c r="D103" t="s">
        <v>19</v>
      </c>
      <c r="E103">
        <v>2000</v>
      </c>
      <c r="F103">
        <v>51</v>
      </c>
      <c r="G103">
        <f>Table1[[#This Row],[Price]]*Table1[[#This Row],[Quantity]]</f>
        <v>102000</v>
      </c>
      <c r="H103" t="s">
        <v>50</v>
      </c>
      <c r="I103" t="s">
        <v>45</v>
      </c>
      <c r="J103" t="s">
        <v>38</v>
      </c>
      <c r="K103" t="s">
        <v>39</v>
      </c>
      <c r="L103">
        <f>Table1[[#This Row],[Total Sales]]*Table1[[#This Row],[Quantity]]</f>
        <v>5202000</v>
      </c>
      <c r="N103" t="str">
        <f>IF(AND(Table1[[#This Row],[Price]]&gt;50,Table1[[#This Row],[Category]]="Footwear"),"High","Low")</f>
        <v>Low</v>
      </c>
      <c r="O103" t="str">
        <f>TEXT(Table1[[#This Row],[Date]],"MMM-YY")</f>
        <v>Feb-25</v>
      </c>
      <c r="P103" s="10" t="str">
        <f>IF(Table1[[#This Row],[profit]]&gt;5000000,"High",IF(Table1[[#This Row],[profit]]&gt;3000000,"Medium","Low"))</f>
        <v>High</v>
      </c>
      <c r="Q103" t="str">
        <f>IF(OR(Table1[[#This Row],[Status]]="Completed",Table1[[#This Row],[Status]]="Pending"),"Paid","no paid")</f>
        <v>Paid</v>
      </c>
    </row>
    <row r="104" spans="1:17" x14ac:dyDescent="0.25">
      <c r="A104" t="s">
        <v>155</v>
      </c>
      <c r="B104" s="1">
        <v>45730</v>
      </c>
      <c r="C104" t="s">
        <v>34</v>
      </c>
      <c r="D104" t="s">
        <v>35</v>
      </c>
      <c r="E104">
        <v>1000</v>
      </c>
      <c r="F104">
        <v>63</v>
      </c>
      <c r="G104">
        <f>Table1[[#This Row],[Price]]*Table1[[#This Row],[Quantity]]</f>
        <v>63000</v>
      </c>
      <c r="H104" t="s">
        <v>53</v>
      </c>
      <c r="I104" t="s">
        <v>80</v>
      </c>
      <c r="J104" t="s">
        <v>38</v>
      </c>
      <c r="K104" t="s">
        <v>22</v>
      </c>
      <c r="L104">
        <f>Table1[[#This Row],[Total Sales]]*Table1[[#This Row],[Quantity]]</f>
        <v>3969000</v>
      </c>
      <c r="N104" t="str">
        <f>IF(AND(Table1[[#This Row],[Price]]&gt;50,Table1[[#This Row],[Category]]="Footwear"),"High","Low")</f>
        <v>Low</v>
      </c>
      <c r="O104" t="str">
        <f>TEXT(Table1[[#This Row],[Date]],"MMM-YY")</f>
        <v>Mar-25</v>
      </c>
      <c r="P104" s="10" t="str">
        <f>IF(Table1[[#This Row],[profit]]&gt;5000000,"High",IF(Table1[[#This Row],[profit]]&gt;3000000,"Medium","Low"))</f>
        <v>Medium</v>
      </c>
      <c r="Q104" t="str">
        <f>IF(OR(Table1[[#This Row],[Status]]="Completed",Table1[[#This Row],[Status]]="Pending"),"Paid","no paid")</f>
        <v>Paid</v>
      </c>
    </row>
    <row r="105" spans="1:17" x14ac:dyDescent="0.25">
      <c r="A105" t="s">
        <v>156</v>
      </c>
      <c r="B105" s="1">
        <v>45710</v>
      </c>
      <c r="C105" t="s">
        <v>52</v>
      </c>
      <c r="D105" t="s">
        <v>35</v>
      </c>
      <c r="E105">
        <v>500</v>
      </c>
      <c r="F105">
        <v>35</v>
      </c>
      <c r="G105">
        <f>Table1[[#This Row],[Price]]*Table1[[#This Row],[Quantity]]</f>
        <v>17500</v>
      </c>
      <c r="H105" t="s">
        <v>79</v>
      </c>
      <c r="I105" t="s">
        <v>29</v>
      </c>
      <c r="J105" t="s">
        <v>16</v>
      </c>
      <c r="K105" t="s">
        <v>22</v>
      </c>
      <c r="L105">
        <f>Table1[[#This Row],[Total Sales]]*Table1[[#This Row],[Quantity]]</f>
        <v>612500</v>
      </c>
      <c r="N105" t="str">
        <f>IF(AND(Table1[[#This Row],[Price]]&gt;50,Table1[[#This Row],[Category]]="Footwear"),"High","Low")</f>
        <v>Low</v>
      </c>
      <c r="O105" t="str">
        <f>TEXT(Table1[[#This Row],[Date]],"MMM-YY")</f>
        <v>Feb-25</v>
      </c>
      <c r="P105" s="10" t="str">
        <f>IF(Table1[[#This Row],[profit]]&gt;5000000,"High",IF(Table1[[#This Row],[profit]]&gt;3000000,"Medium","Low"))</f>
        <v>Low</v>
      </c>
      <c r="Q105" t="str">
        <f>IF(OR(Table1[[#This Row],[Status]]="Completed",Table1[[#This Row],[Status]]="Pending"),"Paid","no paid")</f>
        <v>Paid</v>
      </c>
    </row>
    <row r="106" spans="1:17" x14ac:dyDescent="0.25">
      <c r="A106" t="s">
        <v>157</v>
      </c>
      <c r="B106" s="1">
        <v>45732</v>
      </c>
      <c r="C106" t="s">
        <v>52</v>
      </c>
      <c r="D106" t="s">
        <v>35</v>
      </c>
      <c r="E106">
        <v>2000</v>
      </c>
      <c r="F106">
        <v>44</v>
      </c>
      <c r="G106">
        <f>Table1[[#This Row],[Price]]*Table1[[#This Row],[Quantity]]</f>
        <v>88000</v>
      </c>
      <c r="H106" t="s">
        <v>79</v>
      </c>
      <c r="I106" t="s">
        <v>45</v>
      </c>
      <c r="J106" t="s">
        <v>16</v>
      </c>
      <c r="K106" t="s">
        <v>22</v>
      </c>
      <c r="L106">
        <f>Table1[[#This Row],[Total Sales]]*Table1[[#This Row],[Quantity]]</f>
        <v>3872000</v>
      </c>
      <c r="N106" t="str">
        <f>IF(AND(Table1[[#This Row],[Price]]&gt;50,Table1[[#This Row],[Category]]="Footwear"),"High","Low")</f>
        <v>Low</v>
      </c>
      <c r="O106" t="str">
        <f>TEXT(Table1[[#This Row],[Date]],"MMM-YY")</f>
        <v>Mar-25</v>
      </c>
      <c r="P106" s="10" t="str">
        <f>IF(Table1[[#This Row],[profit]]&gt;5000000,"High",IF(Table1[[#This Row],[profit]]&gt;3000000,"Medium","Low"))</f>
        <v>Medium</v>
      </c>
      <c r="Q106" t="str">
        <f>IF(OR(Table1[[#This Row],[Status]]="Completed",Table1[[#This Row],[Status]]="Pending"),"Paid","no paid")</f>
        <v>Paid</v>
      </c>
    </row>
    <row r="107" spans="1:17" x14ac:dyDescent="0.25">
      <c r="A107" t="s">
        <v>158</v>
      </c>
      <c r="B107" s="1">
        <v>45731</v>
      </c>
      <c r="C107" t="s">
        <v>34</v>
      </c>
      <c r="D107" t="s">
        <v>35</v>
      </c>
      <c r="E107">
        <v>3000</v>
      </c>
      <c r="F107">
        <v>22</v>
      </c>
      <c r="G107">
        <f>Table1[[#This Row],[Price]]*Table1[[#This Row],[Quantity]]</f>
        <v>66000</v>
      </c>
      <c r="H107" t="s">
        <v>28</v>
      </c>
      <c r="I107" t="s">
        <v>80</v>
      </c>
      <c r="J107" t="s">
        <v>38</v>
      </c>
      <c r="K107" t="s">
        <v>39</v>
      </c>
      <c r="L107">
        <f>Table1[[#This Row],[Total Sales]]*Table1[[#This Row],[Quantity]]</f>
        <v>1452000</v>
      </c>
      <c r="N107" t="str">
        <f>IF(AND(Table1[[#This Row],[Price]]&gt;50,Table1[[#This Row],[Category]]="Footwear"),"High","Low")</f>
        <v>Low</v>
      </c>
      <c r="O107" t="str">
        <f>TEXT(Table1[[#This Row],[Date]],"MMM-YY")</f>
        <v>Mar-25</v>
      </c>
      <c r="P107" s="10" t="str">
        <f>IF(Table1[[#This Row],[profit]]&gt;5000000,"High",IF(Table1[[#This Row],[profit]]&gt;3000000,"Medium","Low"))</f>
        <v>Low</v>
      </c>
      <c r="Q107" t="str">
        <f>IF(OR(Table1[[#This Row],[Status]]="Completed",Table1[[#This Row],[Status]]="Pending"),"Paid","no paid")</f>
        <v>Paid</v>
      </c>
    </row>
    <row r="108" spans="1:17" x14ac:dyDescent="0.25">
      <c r="A108" t="s">
        <v>159</v>
      </c>
      <c r="B108" s="1">
        <v>45735</v>
      </c>
      <c r="C108" t="s">
        <v>52</v>
      </c>
      <c r="D108" t="s">
        <v>35</v>
      </c>
      <c r="E108">
        <v>5000</v>
      </c>
      <c r="F108">
        <v>16</v>
      </c>
      <c r="G108">
        <f>Table1[[#This Row],[Price]]*Table1[[#This Row],[Quantity]]</f>
        <v>80000</v>
      </c>
      <c r="H108" t="s">
        <v>28</v>
      </c>
      <c r="I108" t="s">
        <v>29</v>
      </c>
      <c r="J108" t="s">
        <v>30</v>
      </c>
      <c r="K108" t="s">
        <v>39</v>
      </c>
      <c r="L108">
        <f>Table1[[#This Row],[Total Sales]]*Table1[[#This Row],[Quantity]]</f>
        <v>1280000</v>
      </c>
      <c r="N108" t="str">
        <f>IF(AND(Table1[[#This Row],[Price]]&gt;50,Table1[[#This Row],[Category]]="Footwear"),"High","Low")</f>
        <v>Low</v>
      </c>
      <c r="O108" t="str">
        <f>TEXT(Table1[[#This Row],[Date]],"MMM-YY")</f>
        <v>Mar-25</v>
      </c>
      <c r="P108" s="10" t="str">
        <f>IF(Table1[[#This Row],[profit]]&gt;5000000,"High",IF(Table1[[#This Row],[profit]]&gt;3000000,"Medium","Low"))</f>
        <v>Low</v>
      </c>
      <c r="Q108" t="str">
        <f>IF(OR(Table1[[#This Row],[Status]]="Completed",Table1[[#This Row],[Status]]="Pending"),"Paid","no paid")</f>
        <v>Paid</v>
      </c>
    </row>
    <row r="109" spans="1:17" x14ac:dyDescent="0.25">
      <c r="A109" t="s">
        <v>160</v>
      </c>
      <c r="B109" s="1">
        <v>45732</v>
      </c>
      <c r="C109" t="s">
        <v>18</v>
      </c>
      <c r="D109" t="s">
        <v>19</v>
      </c>
      <c r="E109">
        <v>2000</v>
      </c>
      <c r="F109">
        <v>12</v>
      </c>
      <c r="G109">
        <f>Table1[[#This Row],[Price]]*Table1[[#This Row],[Quantity]]</f>
        <v>24000</v>
      </c>
      <c r="H109" t="s">
        <v>56</v>
      </c>
      <c r="I109" t="s">
        <v>43</v>
      </c>
      <c r="J109" t="s">
        <v>38</v>
      </c>
      <c r="K109" t="s">
        <v>39</v>
      </c>
      <c r="L109">
        <f>Table1[[#This Row],[Total Sales]]*Table1[[#This Row],[Quantity]]</f>
        <v>288000</v>
      </c>
      <c r="N109" t="str">
        <f>IF(AND(Table1[[#This Row],[Price]]&gt;50,Table1[[#This Row],[Category]]="Footwear"),"High","Low")</f>
        <v>Low</v>
      </c>
      <c r="O109" t="str">
        <f>TEXT(Table1[[#This Row],[Date]],"MMM-YY")</f>
        <v>Mar-25</v>
      </c>
      <c r="P109" s="10" t="str">
        <f>IF(Table1[[#This Row],[profit]]&gt;5000000,"High",IF(Table1[[#This Row],[profit]]&gt;3000000,"Medium","Low"))</f>
        <v>Low</v>
      </c>
      <c r="Q109" t="str">
        <f>IF(OR(Table1[[#This Row],[Status]]="Completed",Table1[[#This Row],[Status]]="Pending"),"Paid","no paid")</f>
        <v>Paid</v>
      </c>
    </row>
    <row r="110" spans="1:17" x14ac:dyDescent="0.25">
      <c r="A110" t="s">
        <v>161</v>
      </c>
      <c r="B110" s="1">
        <v>45733</v>
      </c>
      <c r="C110" t="s">
        <v>52</v>
      </c>
      <c r="D110" t="s">
        <v>35</v>
      </c>
      <c r="E110">
        <v>2000</v>
      </c>
      <c r="F110">
        <v>33</v>
      </c>
      <c r="G110">
        <f>Table1[[#This Row],[Price]]*Table1[[#This Row],[Quantity]]</f>
        <v>66000</v>
      </c>
      <c r="H110" t="s">
        <v>53</v>
      </c>
      <c r="I110" t="s">
        <v>15</v>
      </c>
      <c r="J110" t="s">
        <v>38</v>
      </c>
      <c r="K110" t="s">
        <v>22</v>
      </c>
      <c r="L110">
        <f>Table1[[#This Row],[Total Sales]]*Table1[[#This Row],[Quantity]]</f>
        <v>2178000</v>
      </c>
      <c r="N110" t="str">
        <f>IF(AND(Table1[[#This Row],[Price]]&gt;50,Table1[[#This Row],[Category]]="Footwear"),"High","Low")</f>
        <v>Low</v>
      </c>
      <c r="O110" t="str">
        <f>TEXT(Table1[[#This Row],[Date]],"MMM-YY")</f>
        <v>Mar-25</v>
      </c>
      <c r="P110" s="10" t="str">
        <f>IF(Table1[[#This Row],[profit]]&gt;5000000,"High",IF(Table1[[#This Row],[profit]]&gt;3000000,"Medium","Low"))</f>
        <v>Low</v>
      </c>
      <c r="Q110" t="str">
        <f>IF(OR(Table1[[#This Row],[Status]]="Completed",Table1[[#This Row],[Status]]="Pending"),"Paid","no paid")</f>
        <v>Paid</v>
      </c>
    </row>
    <row r="111" spans="1:17" x14ac:dyDescent="0.25">
      <c r="A111" t="s">
        <v>162</v>
      </c>
      <c r="B111" s="1">
        <v>45706</v>
      </c>
      <c r="C111" t="s">
        <v>41</v>
      </c>
      <c r="D111" t="s">
        <v>19</v>
      </c>
      <c r="E111">
        <v>1000</v>
      </c>
      <c r="F111">
        <v>54</v>
      </c>
      <c r="G111">
        <f>Table1[[#This Row],[Price]]*Table1[[#This Row],[Quantity]]</f>
        <v>54000</v>
      </c>
      <c r="H111" t="s">
        <v>28</v>
      </c>
      <c r="I111" t="s">
        <v>29</v>
      </c>
      <c r="J111" t="s">
        <v>26</v>
      </c>
      <c r="K111" t="s">
        <v>22</v>
      </c>
      <c r="L111">
        <f>Table1[[#This Row],[Total Sales]]*Table1[[#This Row],[Quantity]]</f>
        <v>2916000</v>
      </c>
      <c r="N111" t="str">
        <f>IF(AND(Table1[[#This Row],[Price]]&gt;50,Table1[[#This Row],[Category]]="Footwear"),"High","Low")</f>
        <v>Low</v>
      </c>
      <c r="O111" t="str">
        <f>TEXT(Table1[[#This Row],[Date]],"MMM-YY")</f>
        <v>Feb-25</v>
      </c>
      <c r="P111" s="10" t="str">
        <f>IF(Table1[[#This Row],[profit]]&gt;5000000,"High",IF(Table1[[#This Row],[profit]]&gt;3000000,"Medium","Low"))</f>
        <v>Low</v>
      </c>
      <c r="Q111" t="str">
        <f>IF(OR(Table1[[#This Row],[Status]]="Completed",Table1[[#This Row],[Status]]="Pending"),"Paid","no paid")</f>
        <v>Paid</v>
      </c>
    </row>
    <row r="112" spans="1:17" x14ac:dyDescent="0.25">
      <c r="A112" t="s">
        <v>163</v>
      </c>
      <c r="B112" s="1">
        <v>45747</v>
      </c>
      <c r="C112" t="s">
        <v>55</v>
      </c>
      <c r="D112" t="s">
        <v>19</v>
      </c>
      <c r="E112">
        <v>500</v>
      </c>
      <c r="F112">
        <v>56</v>
      </c>
      <c r="G112">
        <f>Table1[[#This Row],[Price]]*Table1[[#This Row],[Quantity]]</f>
        <v>28000</v>
      </c>
      <c r="H112" t="s">
        <v>14</v>
      </c>
      <c r="I112" t="s">
        <v>67</v>
      </c>
      <c r="J112" t="s">
        <v>30</v>
      </c>
      <c r="K112" t="s">
        <v>39</v>
      </c>
      <c r="L112">
        <f>Table1[[#This Row],[Total Sales]]*Table1[[#This Row],[Quantity]]</f>
        <v>1568000</v>
      </c>
      <c r="N112" t="str">
        <f>IF(AND(Table1[[#This Row],[Price]]&gt;50,Table1[[#This Row],[Category]]="Footwear"),"High","Low")</f>
        <v>Low</v>
      </c>
      <c r="O112" t="str">
        <f>TEXT(Table1[[#This Row],[Date]],"MMM-YY")</f>
        <v>Mar-25</v>
      </c>
      <c r="P112" s="10" t="str">
        <f>IF(Table1[[#This Row],[profit]]&gt;5000000,"High",IF(Table1[[#This Row],[profit]]&gt;3000000,"Medium","Low"))</f>
        <v>Low</v>
      </c>
      <c r="Q112" t="str">
        <f>IF(OR(Table1[[#This Row],[Status]]="Completed",Table1[[#This Row],[Status]]="Pending"),"Paid","no paid")</f>
        <v>Paid</v>
      </c>
    </row>
    <row r="113" spans="1:17" x14ac:dyDescent="0.25">
      <c r="A113" t="s">
        <v>164</v>
      </c>
      <c r="B113" s="1">
        <v>45722</v>
      </c>
      <c r="C113" t="s">
        <v>59</v>
      </c>
      <c r="D113" t="s">
        <v>60</v>
      </c>
      <c r="E113">
        <v>2000</v>
      </c>
      <c r="F113">
        <v>72</v>
      </c>
      <c r="G113">
        <f>Table1[[#This Row],[Price]]*Table1[[#This Row],[Quantity]]</f>
        <v>144000</v>
      </c>
      <c r="H113" t="s">
        <v>50</v>
      </c>
      <c r="I113" t="s">
        <v>29</v>
      </c>
      <c r="J113" t="s">
        <v>57</v>
      </c>
      <c r="K113" t="s">
        <v>22</v>
      </c>
      <c r="L113">
        <f>Table1[[#This Row],[Total Sales]]*Table1[[#This Row],[Quantity]]</f>
        <v>10368000</v>
      </c>
      <c r="N113" t="str">
        <f>IF(AND(Table1[[#This Row],[Price]]&gt;50,Table1[[#This Row],[Category]]="Footwear"),"High","Low")</f>
        <v>Low</v>
      </c>
      <c r="O113" t="str">
        <f>TEXT(Table1[[#This Row],[Date]],"MMM-YY")</f>
        <v>Mar-25</v>
      </c>
      <c r="P113" s="10" t="str">
        <f>IF(Table1[[#This Row],[profit]]&gt;5000000,"High",IF(Table1[[#This Row],[profit]]&gt;3000000,"Medium","Low"))</f>
        <v>High</v>
      </c>
      <c r="Q113" t="str">
        <f>IF(OR(Table1[[#This Row],[Status]]="Completed",Table1[[#This Row],[Status]]="Pending"),"Paid","no paid")</f>
        <v>Paid</v>
      </c>
    </row>
    <row r="114" spans="1:17" x14ac:dyDescent="0.25">
      <c r="A114" t="s">
        <v>165</v>
      </c>
      <c r="B114" s="1">
        <v>45735</v>
      </c>
      <c r="C114" t="s">
        <v>48</v>
      </c>
      <c r="D114" t="s">
        <v>49</v>
      </c>
      <c r="E114">
        <v>3000</v>
      </c>
      <c r="F114">
        <v>12</v>
      </c>
      <c r="G114">
        <f>Table1[[#This Row],[Price]]*Table1[[#This Row],[Quantity]]</f>
        <v>36000</v>
      </c>
      <c r="H114" t="s">
        <v>50</v>
      </c>
      <c r="I114" t="s">
        <v>21</v>
      </c>
      <c r="J114" t="s">
        <v>16</v>
      </c>
      <c r="K114" t="s">
        <v>22</v>
      </c>
      <c r="L114">
        <f>Table1[[#This Row],[Total Sales]]*Table1[[#This Row],[Quantity]]</f>
        <v>432000</v>
      </c>
      <c r="N114" t="str">
        <f>IF(AND(Table1[[#This Row],[Price]]&gt;50,Table1[[#This Row],[Category]]="Footwear"),"High","Low")</f>
        <v>Low</v>
      </c>
      <c r="O114" t="str">
        <f>TEXT(Table1[[#This Row],[Date]],"MMM-YY")</f>
        <v>Mar-25</v>
      </c>
      <c r="P114" s="10" t="str">
        <f>IF(Table1[[#This Row],[profit]]&gt;5000000,"High",IF(Table1[[#This Row],[profit]]&gt;3000000,"Medium","Low"))</f>
        <v>Low</v>
      </c>
      <c r="Q114" t="str">
        <f>IF(OR(Table1[[#This Row],[Status]]="Completed",Table1[[#This Row],[Status]]="Pending"),"Paid","no paid")</f>
        <v>Paid</v>
      </c>
    </row>
    <row r="115" spans="1:17" x14ac:dyDescent="0.25">
      <c r="A115" t="s">
        <v>166</v>
      </c>
      <c r="B115" s="1">
        <v>45711</v>
      </c>
      <c r="C115" t="s">
        <v>12</v>
      </c>
      <c r="D115" t="s">
        <v>13</v>
      </c>
      <c r="E115">
        <v>5000</v>
      </c>
      <c r="F115">
        <v>45</v>
      </c>
      <c r="G115">
        <f>Table1[[#This Row],[Price]]*Table1[[#This Row],[Quantity]]</f>
        <v>225000</v>
      </c>
      <c r="H115" t="s">
        <v>14</v>
      </c>
      <c r="I115" t="s">
        <v>37</v>
      </c>
      <c r="J115" t="s">
        <v>30</v>
      </c>
      <c r="K115" t="s">
        <v>22</v>
      </c>
      <c r="L115">
        <f>Table1[[#This Row],[Total Sales]]*Table1[[#This Row],[Quantity]]</f>
        <v>10125000</v>
      </c>
      <c r="N115" t="str">
        <f>IF(AND(Table1[[#This Row],[Price]]&gt;50,Table1[[#This Row],[Category]]="Footwear"),"High","Low")</f>
        <v>High</v>
      </c>
      <c r="O115" t="str">
        <f>TEXT(Table1[[#This Row],[Date]],"MMM-YY")</f>
        <v>Feb-25</v>
      </c>
      <c r="P115" s="10" t="str">
        <f>IF(Table1[[#This Row],[profit]]&gt;5000000,"High",IF(Table1[[#This Row],[profit]]&gt;3000000,"Medium","Low"))</f>
        <v>High</v>
      </c>
      <c r="Q115" t="str">
        <f>IF(OR(Table1[[#This Row],[Status]]="Completed",Table1[[#This Row],[Status]]="Pending"),"Paid","no paid")</f>
        <v>Paid</v>
      </c>
    </row>
    <row r="116" spans="1:17" x14ac:dyDescent="0.25">
      <c r="A116" t="s">
        <v>167</v>
      </c>
      <c r="B116" s="1">
        <v>45737</v>
      </c>
      <c r="C116" t="s">
        <v>12</v>
      </c>
      <c r="D116" t="s">
        <v>13</v>
      </c>
      <c r="E116">
        <v>2000</v>
      </c>
      <c r="F116">
        <v>67</v>
      </c>
      <c r="G116">
        <f>Table1[[#This Row],[Price]]*Table1[[#This Row],[Quantity]]</f>
        <v>134000</v>
      </c>
      <c r="H116" t="s">
        <v>28</v>
      </c>
      <c r="I116" t="s">
        <v>43</v>
      </c>
      <c r="J116" t="s">
        <v>26</v>
      </c>
      <c r="K116" t="s">
        <v>39</v>
      </c>
      <c r="L116">
        <f>Table1[[#This Row],[Total Sales]]*Table1[[#This Row],[Quantity]]</f>
        <v>8978000</v>
      </c>
      <c r="N116" t="str">
        <f>IF(AND(Table1[[#This Row],[Price]]&gt;50,Table1[[#This Row],[Category]]="Footwear"),"High","Low")</f>
        <v>High</v>
      </c>
      <c r="O116" t="str">
        <f>TEXT(Table1[[#This Row],[Date]],"MMM-YY")</f>
        <v>Mar-25</v>
      </c>
      <c r="P116" s="10" t="str">
        <f>IF(Table1[[#This Row],[profit]]&gt;5000000,"High",IF(Table1[[#This Row],[profit]]&gt;3000000,"Medium","Low"))</f>
        <v>High</v>
      </c>
      <c r="Q116" t="str">
        <f>IF(OR(Table1[[#This Row],[Status]]="Completed",Table1[[#This Row],[Status]]="Pending"),"Paid","no paid")</f>
        <v>Paid</v>
      </c>
    </row>
    <row r="117" spans="1:17" x14ac:dyDescent="0.25">
      <c r="A117" t="s">
        <v>168</v>
      </c>
      <c r="B117" s="1">
        <v>45735</v>
      </c>
      <c r="C117" t="s">
        <v>55</v>
      </c>
      <c r="D117" t="s">
        <v>19</v>
      </c>
      <c r="E117">
        <v>2000</v>
      </c>
      <c r="F117">
        <v>23</v>
      </c>
      <c r="G117">
        <f>Table1[[#This Row],[Price]]*Table1[[#This Row],[Quantity]]</f>
        <v>46000</v>
      </c>
      <c r="H117" t="s">
        <v>14</v>
      </c>
      <c r="I117" t="s">
        <v>67</v>
      </c>
      <c r="J117" t="s">
        <v>26</v>
      </c>
      <c r="K117" t="s">
        <v>39</v>
      </c>
      <c r="L117">
        <f>Table1[[#This Row],[Total Sales]]*Table1[[#This Row],[Quantity]]</f>
        <v>1058000</v>
      </c>
      <c r="N117" t="str">
        <f>IF(AND(Table1[[#This Row],[Price]]&gt;50,Table1[[#This Row],[Category]]="Footwear"),"High","Low")</f>
        <v>Low</v>
      </c>
      <c r="O117" t="str">
        <f>TEXT(Table1[[#This Row],[Date]],"MMM-YY")</f>
        <v>Mar-25</v>
      </c>
      <c r="P117" s="10" t="str">
        <f>IF(Table1[[#This Row],[profit]]&gt;5000000,"High",IF(Table1[[#This Row],[profit]]&gt;3000000,"Medium","Low"))</f>
        <v>Low</v>
      </c>
      <c r="Q117" t="str">
        <f>IF(OR(Table1[[#This Row],[Status]]="Completed",Table1[[#This Row],[Status]]="Pending"),"Paid","no paid")</f>
        <v>Paid</v>
      </c>
    </row>
    <row r="118" spans="1:17" x14ac:dyDescent="0.25">
      <c r="A118" t="s">
        <v>169</v>
      </c>
      <c r="B118" s="1">
        <v>45715</v>
      </c>
      <c r="C118" t="s">
        <v>34</v>
      </c>
      <c r="D118" t="s">
        <v>35</v>
      </c>
      <c r="E118">
        <v>1000</v>
      </c>
      <c r="F118">
        <v>89</v>
      </c>
      <c r="G118">
        <f>Table1[[#This Row],[Price]]*Table1[[#This Row],[Quantity]]</f>
        <v>89000</v>
      </c>
      <c r="H118" t="s">
        <v>56</v>
      </c>
      <c r="I118" t="s">
        <v>15</v>
      </c>
      <c r="J118" t="s">
        <v>30</v>
      </c>
      <c r="K118" t="s">
        <v>39</v>
      </c>
      <c r="L118">
        <f>Table1[[#This Row],[Total Sales]]*Table1[[#This Row],[Quantity]]</f>
        <v>7921000</v>
      </c>
      <c r="N118" t="str">
        <f>IF(AND(Table1[[#This Row],[Price]]&gt;50,Table1[[#This Row],[Category]]="Footwear"),"High","Low")</f>
        <v>Low</v>
      </c>
      <c r="O118" t="str">
        <f>TEXT(Table1[[#This Row],[Date]],"MMM-YY")</f>
        <v>Feb-25</v>
      </c>
      <c r="P118" s="10" t="str">
        <f>IF(Table1[[#This Row],[profit]]&gt;5000000,"High",IF(Table1[[#This Row],[profit]]&gt;3000000,"Medium","Low"))</f>
        <v>High</v>
      </c>
      <c r="Q118" t="str">
        <f>IF(OR(Table1[[#This Row],[Status]]="Completed",Table1[[#This Row],[Status]]="Pending"),"Paid","no paid")</f>
        <v>Paid</v>
      </c>
    </row>
    <row r="119" spans="1:17" x14ac:dyDescent="0.25">
      <c r="A119" t="s">
        <v>170</v>
      </c>
      <c r="B119" s="1">
        <v>45698</v>
      </c>
      <c r="C119" t="s">
        <v>18</v>
      </c>
      <c r="D119" t="s">
        <v>19</v>
      </c>
      <c r="E119">
        <v>500</v>
      </c>
      <c r="F119">
        <v>42</v>
      </c>
      <c r="G119">
        <f>Table1[[#This Row],[Price]]*Table1[[#This Row],[Quantity]]</f>
        <v>21000</v>
      </c>
      <c r="H119" t="s">
        <v>24</v>
      </c>
      <c r="I119" t="s">
        <v>37</v>
      </c>
      <c r="J119" t="s">
        <v>26</v>
      </c>
      <c r="K119" t="s">
        <v>39</v>
      </c>
      <c r="L119">
        <f>Table1[[#This Row],[Total Sales]]*Table1[[#This Row],[Quantity]]</f>
        <v>882000</v>
      </c>
      <c r="N119" t="str">
        <f>IF(AND(Table1[[#This Row],[Price]]&gt;50,Table1[[#This Row],[Category]]="Footwear"),"High","Low")</f>
        <v>Low</v>
      </c>
      <c r="O119" t="str">
        <f>TEXT(Table1[[#This Row],[Date]],"MMM-YY")</f>
        <v>Feb-25</v>
      </c>
      <c r="P119" s="10" t="str">
        <f>IF(Table1[[#This Row],[profit]]&gt;5000000,"High",IF(Table1[[#This Row],[profit]]&gt;3000000,"Medium","Low"))</f>
        <v>Low</v>
      </c>
      <c r="Q119" t="str">
        <f>IF(OR(Table1[[#This Row],[Status]]="Completed",Table1[[#This Row],[Status]]="Pending"),"Paid","no paid")</f>
        <v>Paid</v>
      </c>
    </row>
    <row r="120" spans="1:17" x14ac:dyDescent="0.25">
      <c r="A120" t="s">
        <v>171</v>
      </c>
      <c r="B120" s="1">
        <v>45732</v>
      </c>
      <c r="C120" t="s">
        <v>41</v>
      </c>
      <c r="D120" t="s">
        <v>19</v>
      </c>
      <c r="E120">
        <v>2000</v>
      </c>
      <c r="F120">
        <v>51</v>
      </c>
      <c r="G120">
        <f>Table1[[#This Row],[Price]]*Table1[[#This Row],[Quantity]]</f>
        <v>102000</v>
      </c>
      <c r="H120" t="s">
        <v>71</v>
      </c>
      <c r="I120" t="s">
        <v>80</v>
      </c>
      <c r="J120" t="s">
        <v>38</v>
      </c>
      <c r="K120" t="s">
        <v>22</v>
      </c>
      <c r="L120">
        <f>Table1[[#This Row],[Total Sales]]*Table1[[#This Row],[Quantity]]</f>
        <v>5202000</v>
      </c>
      <c r="N120" t="str">
        <f>IF(AND(Table1[[#This Row],[Price]]&gt;50,Table1[[#This Row],[Category]]="Footwear"),"High","Low")</f>
        <v>Low</v>
      </c>
      <c r="O120" t="str">
        <f>TEXT(Table1[[#This Row],[Date]],"MMM-YY")</f>
        <v>Mar-25</v>
      </c>
      <c r="P120" s="10" t="str">
        <f>IF(Table1[[#This Row],[profit]]&gt;5000000,"High",IF(Table1[[#This Row],[profit]]&gt;3000000,"Medium","Low"))</f>
        <v>High</v>
      </c>
      <c r="Q120" t="str">
        <f>IF(OR(Table1[[#This Row],[Status]]="Completed",Table1[[#This Row],[Status]]="Pending"),"Paid","no paid")</f>
        <v>Paid</v>
      </c>
    </row>
    <row r="121" spans="1:17" x14ac:dyDescent="0.25">
      <c r="A121" t="s">
        <v>172</v>
      </c>
      <c r="B121" s="1">
        <v>45704</v>
      </c>
      <c r="C121" t="s">
        <v>55</v>
      </c>
      <c r="D121" t="s">
        <v>19</v>
      </c>
      <c r="E121">
        <v>3000</v>
      </c>
      <c r="F121">
        <v>5</v>
      </c>
      <c r="G121">
        <f>Table1[[#This Row],[Price]]*Table1[[#This Row],[Quantity]]</f>
        <v>15000</v>
      </c>
      <c r="H121" t="s">
        <v>20</v>
      </c>
      <c r="I121" t="s">
        <v>25</v>
      </c>
      <c r="J121" t="s">
        <v>38</v>
      </c>
      <c r="K121" t="s">
        <v>39</v>
      </c>
      <c r="L121">
        <f>Table1[[#This Row],[Total Sales]]*Table1[[#This Row],[Quantity]]</f>
        <v>75000</v>
      </c>
      <c r="N121" t="str">
        <f>IF(AND(Table1[[#This Row],[Price]]&gt;50,Table1[[#This Row],[Category]]="Footwear"),"High","Low")</f>
        <v>Low</v>
      </c>
      <c r="O121" t="str">
        <f>TEXT(Table1[[#This Row],[Date]],"MMM-YY")</f>
        <v>Feb-25</v>
      </c>
      <c r="P121" s="10" t="str">
        <f>IF(Table1[[#This Row],[profit]]&gt;5000000,"High",IF(Table1[[#This Row],[profit]]&gt;3000000,"Medium","Low"))</f>
        <v>Low</v>
      </c>
      <c r="Q121" t="str">
        <f>IF(OR(Table1[[#This Row],[Status]]="Completed",Table1[[#This Row],[Status]]="Pending"),"Paid","no paid")</f>
        <v>Paid</v>
      </c>
    </row>
    <row r="122" spans="1:17" x14ac:dyDescent="0.25">
      <c r="A122" t="s">
        <v>173</v>
      </c>
      <c r="B122" s="1">
        <v>45706</v>
      </c>
      <c r="C122" t="s">
        <v>41</v>
      </c>
      <c r="D122" t="s">
        <v>19</v>
      </c>
      <c r="E122">
        <v>5000</v>
      </c>
      <c r="F122">
        <v>1</v>
      </c>
      <c r="G122">
        <f>Table1[[#This Row],[Price]]*Table1[[#This Row],[Quantity]]</f>
        <v>5000</v>
      </c>
      <c r="H122" t="s">
        <v>24</v>
      </c>
      <c r="I122" t="s">
        <v>29</v>
      </c>
      <c r="J122" t="s">
        <v>57</v>
      </c>
      <c r="K122" t="s">
        <v>22</v>
      </c>
      <c r="L122">
        <f>Table1[[#This Row],[Total Sales]]*Table1[[#This Row],[Quantity]]</f>
        <v>5000</v>
      </c>
      <c r="N122" t="str">
        <f>IF(AND(Table1[[#This Row],[Price]]&gt;50,Table1[[#This Row],[Category]]="Footwear"),"High","Low")</f>
        <v>Low</v>
      </c>
      <c r="O122" t="str">
        <f>TEXT(Table1[[#This Row],[Date]],"MMM-YY")</f>
        <v>Feb-25</v>
      </c>
      <c r="P122" s="10" t="str">
        <f>IF(Table1[[#This Row],[profit]]&gt;5000000,"High",IF(Table1[[#This Row],[profit]]&gt;3000000,"Medium","Low"))</f>
        <v>Low</v>
      </c>
      <c r="Q122" t="str">
        <f>IF(OR(Table1[[#This Row],[Status]]="Completed",Table1[[#This Row],[Status]]="Pending"),"Paid","no paid")</f>
        <v>Paid</v>
      </c>
    </row>
    <row r="123" spans="1:17" x14ac:dyDescent="0.25">
      <c r="A123" t="s">
        <v>174</v>
      </c>
      <c r="B123" s="1">
        <v>45744</v>
      </c>
      <c r="C123" t="s">
        <v>55</v>
      </c>
      <c r="D123" t="s">
        <v>19</v>
      </c>
      <c r="E123">
        <v>2000</v>
      </c>
      <c r="F123">
        <v>3</v>
      </c>
      <c r="G123">
        <f>Table1[[#This Row],[Price]]*Table1[[#This Row],[Quantity]]</f>
        <v>6000</v>
      </c>
      <c r="H123" t="s">
        <v>24</v>
      </c>
      <c r="I123" t="s">
        <v>43</v>
      </c>
      <c r="J123" t="s">
        <v>30</v>
      </c>
      <c r="K123" t="s">
        <v>39</v>
      </c>
      <c r="L123">
        <f>Table1[[#This Row],[Total Sales]]*Table1[[#This Row],[Quantity]]</f>
        <v>18000</v>
      </c>
      <c r="N123" t="str">
        <f>IF(AND(Table1[[#This Row],[Price]]&gt;50,Table1[[#This Row],[Category]]="Footwear"),"High","Low")</f>
        <v>Low</v>
      </c>
      <c r="O123" t="str">
        <f>TEXT(Table1[[#This Row],[Date]],"MMM-YY")</f>
        <v>Mar-25</v>
      </c>
      <c r="P123" s="10" t="str">
        <f>IF(Table1[[#This Row],[profit]]&gt;5000000,"High",IF(Table1[[#This Row],[profit]]&gt;3000000,"Medium","Low"))</f>
        <v>Low</v>
      </c>
      <c r="Q123" t="str">
        <f>IF(OR(Table1[[#This Row],[Status]]="Completed",Table1[[#This Row],[Status]]="Pending"),"Paid","no paid")</f>
        <v>Paid</v>
      </c>
    </row>
    <row r="124" spans="1:17" x14ac:dyDescent="0.25">
      <c r="A124" t="s">
        <v>175</v>
      </c>
      <c r="B124" s="1">
        <v>45711</v>
      </c>
      <c r="C124" t="s">
        <v>48</v>
      </c>
      <c r="D124" t="s">
        <v>49</v>
      </c>
      <c r="E124">
        <v>2000</v>
      </c>
      <c r="F124">
        <v>3</v>
      </c>
      <c r="G124">
        <f>Table1[[#This Row],[Price]]*Table1[[#This Row],[Quantity]]</f>
        <v>6000</v>
      </c>
      <c r="H124" t="s">
        <v>71</v>
      </c>
      <c r="I124" t="s">
        <v>45</v>
      </c>
      <c r="J124" t="s">
        <v>57</v>
      </c>
      <c r="K124" t="s">
        <v>22</v>
      </c>
      <c r="L124">
        <f>Table1[[#This Row],[Total Sales]]*Table1[[#This Row],[Quantity]]</f>
        <v>18000</v>
      </c>
      <c r="N124" t="str">
        <f>IF(AND(Table1[[#This Row],[Price]]&gt;50,Table1[[#This Row],[Category]]="Footwear"),"High","Low")</f>
        <v>Low</v>
      </c>
      <c r="O124" t="str">
        <f>TEXT(Table1[[#This Row],[Date]],"MMM-YY")</f>
        <v>Feb-25</v>
      </c>
      <c r="P124" s="10" t="str">
        <f>IF(Table1[[#This Row],[profit]]&gt;5000000,"High",IF(Table1[[#This Row],[profit]]&gt;3000000,"Medium","Low"))</f>
        <v>Low</v>
      </c>
      <c r="Q124" t="str">
        <f>IF(OR(Table1[[#This Row],[Status]]="Completed",Table1[[#This Row],[Status]]="Pending"),"Paid","no paid")</f>
        <v>Paid</v>
      </c>
    </row>
    <row r="125" spans="1:17" x14ac:dyDescent="0.25">
      <c r="A125" t="s">
        <v>176</v>
      </c>
      <c r="B125" s="1">
        <v>45698</v>
      </c>
      <c r="C125" t="s">
        <v>48</v>
      </c>
      <c r="D125" t="s">
        <v>49</v>
      </c>
      <c r="E125">
        <v>1000</v>
      </c>
      <c r="F125">
        <v>1</v>
      </c>
      <c r="G125">
        <f>Table1[[#This Row],[Price]]*Table1[[#This Row],[Quantity]]</f>
        <v>1000</v>
      </c>
      <c r="H125" t="s">
        <v>14</v>
      </c>
      <c r="I125" t="s">
        <v>62</v>
      </c>
      <c r="J125" t="s">
        <v>57</v>
      </c>
      <c r="K125" t="s">
        <v>39</v>
      </c>
      <c r="L125">
        <f>Table1[[#This Row],[Total Sales]]*Table1[[#This Row],[Quantity]]</f>
        <v>1000</v>
      </c>
      <c r="N125" t="str">
        <f>IF(AND(Table1[[#This Row],[Price]]&gt;50,Table1[[#This Row],[Category]]="Footwear"),"High","Low")</f>
        <v>Low</v>
      </c>
      <c r="O125" t="str">
        <f>TEXT(Table1[[#This Row],[Date]],"MMM-YY")</f>
        <v>Feb-25</v>
      </c>
      <c r="P125" s="10" t="str">
        <f>IF(Table1[[#This Row],[profit]]&gt;5000000,"High",IF(Table1[[#This Row],[profit]]&gt;3000000,"Medium","Low"))</f>
        <v>Low</v>
      </c>
      <c r="Q125" t="str">
        <f>IF(OR(Table1[[#This Row],[Status]]="Completed",Table1[[#This Row],[Status]]="Pending"),"Paid","no paid")</f>
        <v>Paid</v>
      </c>
    </row>
    <row r="126" spans="1:17" x14ac:dyDescent="0.25">
      <c r="A126" t="s">
        <v>177</v>
      </c>
      <c r="B126" s="1">
        <v>45711</v>
      </c>
      <c r="C126" t="s">
        <v>41</v>
      </c>
      <c r="D126" t="s">
        <v>19</v>
      </c>
      <c r="E126">
        <v>500</v>
      </c>
      <c r="F126">
        <v>1</v>
      </c>
      <c r="G126">
        <f>Table1[[#This Row],[Price]]*Table1[[#This Row],[Quantity]]</f>
        <v>500</v>
      </c>
      <c r="H126" t="s">
        <v>20</v>
      </c>
      <c r="I126" t="s">
        <v>25</v>
      </c>
      <c r="J126" t="s">
        <v>26</v>
      </c>
      <c r="K126" t="s">
        <v>22</v>
      </c>
      <c r="L126">
        <f>Table1[[#This Row],[Total Sales]]*Table1[[#This Row],[Quantity]]</f>
        <v>500</v>
      </c>
      <c r="N126" t="str">
        <f>IF(AND(Table1[[#This Row],[Price]]&gt;50,Table1[[#This Row],[Category]]="Footwear"),"High","Low")</f>
        <v>Low</v>
      </c>
      <c r="O126" t="str">
        <f>TEXT(Table1[[#This Row],[Date]],"MMM-YY")</f>
        <v>Feb-25</v>
      </c>
      <c r="P126" s="10" t="str">
        <f>IF(Table1[[#This Row],[profit]]&gt;5000000,"High",IF(Table1[[#This Row],[profit]]&gt;3000000,"Medium","Low"))</f>
        <v>Low</v>
      </c>
      <c r="Q126" t="str">
        <f>IF(OR(Table1[[#This Row],[Status]]="Completed",Table1[[#This Row],[Status]]="Pending"),"Paid","no paid")</f>
        <v>Paid</v>
      </c>
    </row>
    <row r="127" spans="1:17" x14ac:dyDescent="0.25">
      <c r="A127" t="s">
        <v>178</v>
      </c>
      <c r="B127" s="1">
        <v>45692</v>
      </c>
      <c r="C127" t="s">
        <v>64</v>
      </c>
      <c r="D127" t="s">
        <v>60</v>
      </c>
      <c r="E127">
        <v>2000</v>
      </c>
      <c r="F127">
        <v>33</v>
      </c>
      <c r="G127">
        <f>Table1[[#This Row],[Price]]*Table1[[#This Row],[Quantity]]</f>
        <v>66000</v>
      </c>
      <c r="H127" t="s">
        <v>28</v>
      </c>
      <c r="I127" t="s">
        <v>80</v>
      </c>
      <c r="J127" t="s">
        <v>57</v>
      </c>
      <c r="K127" t="s">
        <v>22</v>
      </c>
      <c r="L127">
        <f>Table1[[#This Row],[Total Sales]]*Table1[[#This Row],[Quantity]]</f>
        <v>2178000</v>
      </c>
      <c r="N127" t="str">
        <f>IF(AND(Table1[[#This Row],[Price]]&gt;50,Table1[[#This Row],[Category]]="Footwear"),"High","Low")</f>
        <v>Low</v>
      </c>
      <c r="O127" t="str">
        <f>TEXT(Table1[[#This Row],[Date]],"MMM-YY")</f>
        <v>Feb-25</v>
      </c>
      <c r="P127" s="10" t="str">
        <f>IF(Table1[[#This Row],[profit]]&gt;5000000,"High",IF(Table1[[#This Row],[profit]]&gt;3000000,"Medium","Low"))</f>
        <v>Low</v>
      </c>
      <c r="Q127" t="str">
        <f>IF(OR(Table1[[#This Row],[Status]]="Completed",Table1[[#This Row],[Status]]="Pending"),"Paid","no paid")</f>
        <v>Paid</v>
      </c>
    </row>
    <row r="128" spans="1:17" x14ac:dyDescent="0.25">
      <c r="A128" t="s">
        <v>179</v>
      </c>
      <c r="B128" s="1">
        <v>45706</v>
      </c>
      <c r="C128" t="s">
        <v>34</v>
      </c>
      <c r="D128" t="s">
        <v>35</v>
      </c>
      <c r="E128">
        <v>3000</v>
      </c>
      <c r="F128">
        <v>54</v>
      </c>
      <c r="G128">
        <f>Table1[[#This Row],[Price]]*Table1[[#This Row],[Quantity]]</f>
        <v>162000</v>
      </c>
      <c r="H128" t="s">
        <v>14</v>
      </c>
      <c r="I128" t="s">
        <v>29</v>
      </c>
      <c r="J128" t="s">
        <v>16</v>
      </c>
      <c r="K128" t="s">
        <v>22</v>
      </c>
      <c r="L128">
        <f>Table1[[#This Row],[Total Sales]]*Table1[[#This Row],[Quantity]]</f>
        <v>8748000</v>
      </c>
      <c r="N128" t="str">
        <f>IF(AND(Table1[[#This Row],[Price]]&gt;50,Table1[[#This Row],[Category]]="Footwear"),"High","Low")</f>
        <v>Low</v>
      </c>
      <c r="O128" t="str">
        <f>TEXT(Table1[[#This Row],[Date]],"MMM-YY")</f>
        <v>Feb-25</v>
      </c>
      <c r="P128" s="10" t="str">
        <f>IF(Table1[[#This Row],[profit]]&gt;5000000,"High",IF(Table1[[#This Row],[profit]]&gt;3000000,"Medium","Low"))</f>
        <v>High</v>
      </c>
      <c r="Q128" t="str">
        <f>IF(OR(Table1[[#This Row],[Status]]="Completed",Table1[[#This Row],[Status]]="Pending"),"Paid","no paid")</f>
        <v>Paid</v>
      </c>
    </row>
    <row r="129" spans="1:17" x14ac:dyDescent="0.25">
      <c r="A129" t="s">
        <v>180</v>
      </c>
      <c r="B129" s="1">
        <v>45739</v>
      </c>
      <c r="C129" t="s">
        <v>32</v>
      </c>
      <c r="D129" t="s">
        <v>19</v>
      </c>
      <c r="E129">
        <v>5000</v>
      </c>
      <c r="F129">
        <v>56</v>
      </c>
      <c r="G129">
        <f>Table1[[#This Row],[Price]]*Table1[[#This Row],[Quantity]]</f>
        <v>280000</v>
      </c>
      <c r="H129" t="s">
        <v>20</v>
      </c>
      <c r="I129" t="s">
        <v>29</v>
      </c>
      <c r="J129" t="s">
        <v>38</v>
      </c>
      <c r="K129" t="s">
        <v>39</v>
      </c>
      <c r="L129">
        <f>Table1[[#This Row],[Total Sales]]*Table1[[#This Row],[Quantity]]</f>
        <v>15680000</v>
      </c>
      <c r="N129" t="str">
        <f>IF(AND(Table1[[#This Row],[Price]]&gt;50,Table1[[#This Row],[Category]]="Footwear"),"High","Low")</f>
        <v>Low</v>
      </c>
      <c r="O129" t="str">
        <f>TEXT(Table1[[#This Row],[Date]],"MMM-YY")</f>
        <v>Mar-25</v>
      </c>
      <c r="P129" s="10" t="str">
        <f>IF(Table1[[#This Row],[profit]]&gt;5000000,"High",IF(Table1[[#This Row],[profit]]&gt;3000000,"Medium","Low"))</f>
        <v>High</v>
      </c>
      <c r="Q129" t="str">
        <f>IF(OR(Table1[[#This Row],[Status]]="Completed",Table1[[#This Row],[Status]]="Pending"),"Paid","no paid")</f>
        <v>Paid</v>
      </c>
    </row>
    <row r="130" spans="1:17" x14ac:dyDescent="0.25">
      <c r="A130" t="s">
        <v>181</v>
      </c>
      <c r="B130" s="1">
        <v>45714</v>
      </c>
      <c r="C130" t="s">
        <v>52</v>
      </c>
      <c r="D130" t="s">
        <v>35</v>
      </c>
      <c r="E130">
        <v>2000</v>
      </c>
      <c r="F130">
        <v>72</v>
      </c>
      <c r="G130">
        <f>Table1[[#This Row],[Price]]*Table1[[#This Row],[Quantity]]</f>
        <v>144000</v>
      </c>
      <c r="H130" t="s">
        <v>20</v>
      </c>
      <c r="I130" t="s">
        <v>15</v>
      </c>
      <c r="J130" t="s">
        <v>16</v>
      </c>
      <c r="K130" t="s">
        <v>39</v>
      </c>
      <c r="L130">
        <f>Table1[[#This Row],[Total Sales]]*Table1[[#This Row],[Quantity]]</f>
        <v>10368000</v>
      </c>
      <c r="N130" t="str">
        <f>IF(AND(Table1[[#This Row],[Price]]&gt;50,Table1[[#This Row],[Category]]="Footwear"),"High","Low")</f>
        <v>Low</v>
      </c>
      <c r="O130" t="str">
        <f>TEXT(Table1[[#This Row],[Date]],"MMM-YY")</f>
        <v>Feb-25</v>
      </c>
      <c r="P130" s="10" t="str">
        <f>IF(Table1[[#This Row],[profit]]&gt;5000000,"High",IF(Table1[[#This Row],[profit]]&gt;3000000,"Medium","Low"))</f>
        <v>High</v>
      </c>
      <c r="Q130" t="str">
        <f>IF(OR(Table1[[#This Row],[Status]]="Completed",Table1[[#This Row],[Status]]="Pending"),"Paid","no paid")</f>
        <v>Paid</v>
      </c>
    </row>
    <row r="131" spans="1:17" x14ac:dyDescent="0.25">
      <c r="A131" t="s">
        <v>182</v>
      </c>
      <c r="B131" s="1">
        <v>45698</v>
      </c>
      <c r="C131" t="s">
        <v>32</v>
      </c>
      <c r="D131" t="s">
        <v>19</v>
      </c>
      <c r="E131">
        <v>2000</v>
      </c>
      <c r="F131">
        <v>12</v>
      </c>
      <c r="G131">
        <f>Table1[[#This Row],[Price]]*Table1[[#This Row],[Quantity]]</f>
        <v>24000</v>
      </c>
      <c r="H131" t="s">
        <v>50</v>
      </c>
      <c r="I131" t="s">
        <v>45</v>
      </c>
      <c r="J131" t="s">
        <v>38</v>
      </c>
      <c r="K131" t="s">
        <v>39</v>
      </c>
      <c r="L131">
        <f>Table1[[#This Row],[Total Sales]]*Table1[[#This Row],[Quantity]]</f>
        <v>288000</v>
      </c>
      <c r="N131" t="str">
        <f>IF(AND(Table1[[#This Row],[Price]]&gt;50,Table1[[#This Row],[Category]]="Footwear"),"High","Low")</f>
        <v>Low</v>
      </c>
      <c r="O131" t="str">
        <f>TEXT(Table1[[#This Row],[Date]],"MMM-YY")</f>
        <v>Feb-25</v>
      </c>
      <c r="P131" s="10" t="str">
        <f>IF(Table1[[#This Row],[profit]]&gt;5000000,"High",IF(Table1[[#This Row],[profit]]&gt;3000000,"Medium","Low"))</f>
        <v>Low</v>
      </c>
      <c r="Q131" t="str">
        <f>IF(OR(Table1[[#This Row],[Status]]="Completed",Table1[[#This Row],[Status]]="Pending"),"Paid","no paid")</f>
        <v>Paid</v>
      </c>
    </row>
    <row r="132" spans="1:17" x14ac:dyDescent="0.25">
      <c r="A132" t="s">
        <v>183</v>
      </c>
      <c r="B132" s="1">
        <v>45714</v>
      </c>
      <c r="C132" t="s">
        <v>52</v>
      </c>
      <c r="D132" t="s">
        <v>35</v>
      </c>
      <c r="E132">
        <v>1000</v>
      </c>
      <c r="F132">
        <v>45</v>
      </c>
      <c r="G132">
        <f>Table1[[#This Row],[Price]]*Table1[[#This Row],[Quantity]]</f>
        <v>45000</v>
      </c>
      <c r="H132" t="s">
        <v>56</v>
      </c>
      <c r="I132" t="s">
        <v>80</v>
      </c>
      <c r="J132" t="s">
        <v>30</v>
      </c>
      <c r="K132" t="s">
        <v>22</v>
      </c>
      <c r="L132">
        <f>Table1[[#This Row],[Total Sales]]*Table1[[#This Row],[Quantity]]</f>
        <v>2025000</v>
      </c>
      <c r="N132" t="str">
        <f>IF(AND(Table1[[#This Row],[Price]]&gt;50,Table1[[#This Row],[Category]]="Footwear"),"High","Low")</f>
        <v>Low</v>
      </c>
      <c r="O132" t="str">
        <f>TEXT(Table1[[#This Row],[Date]],"MMM-YY")</f>
        <v>Feb-25</v>
      </c>
      <c r="P132" s="10" t="str">
        <f>IF(Table1[[#This Row],[profit]]&gt;5000000,"High",IF(Table1[[#This Row],[profit]]&gt;3000000,"Medium","Low"))</f>
        <v>Low</v>
      </c>
      <c r="Q132" t="str">
        <f>IF(OR(Table1[[#This Row],[Status]]="Completed",Table1[[#This Row],[Status]]="Pending"),"Paid","no paid")</f>
        <v>Paid</v>
      </c>
    </row>
    <row r="133" spans="1:17" x14ac:dyDescent="0.25">
      <c r="A133" t="s">
        <v>184</v>
      </c>
      <c r="B133" s="1">
        <v>45723</v>
      </c>
      <c r="C133" t="s">
        <v>41</v>
      </c>
      <c r="D133" t="s">
        <v>19</v>
      </c>
      <c r="E133">
        <v>500</v>
      </c>
      <c r="F133">
        <v>67</v>
      </c>
      <c r="G133">
        <f>Table1[[#This Row],[Price]]*Table1[[#This Row],[Quantity]]</f>
        <v>33500</v>
      </c>
      <c r="H133" t="s">
        <v>28</v>
      </c>
      <c r="I133" t="s">
        <v>80</v>
      </c>
      <c r="J133" t="s">
        <v>16</v>
      </c>
      <c r="K133" t="s">
        <v>22</v>
      </c>
      <c r="L133">
        <f>Table1[[#This Row],[Total Sales]]*Table1[[#This Row],[Quantity]]</f>
        <v>2244500</v>
      </c>
      <c r="N133" t="str">
        <f>IF(AND(Table1[[#This Row],[Price]]&gt;50,Table1[[#This Row],[Category]]="Footwear"),"High","Low")</f>
        <v>Low</v>
      </c>
      <c r="O133" t="str">
        <f>TEXT(Table1[[#This Row],[Date]],"MMM-YY")</f>
        <v>Mar-25</v>
      </c>
      <c r="P133" s="10" t="str">
        <f>IF(Table1[[#This Row],[profit]]&gt;5000000,"High",IF(Table1[[#This Row],[profit]]&gt;3000000,"Medium","Low"))</f>
        <v>Low</v>
      </c>
      <c r="Q133" t="str">
        <f>IF(OR(Table1[[#This Row],[Status]]="Completed",Table1[[#This Row],[Status]]="Pending"),"Paid","no paid")</f>
        <v>Paid</v>
      </c>
    </row>
    <row r="134" spans="1:17" x14ac:dyDescent="0.25">
      <c r="A134" t="s">
        <v>185</v>
      </c>
      <c r="B134" s="1">
        <v>45711</v>
      </c>
      <c r="C134" t="s">
        <v>55</v>
      </c>
      <c r="D134" t="s">
        <v>19</v>
      </c>
      <c r="E134">
        <v>2000</v>
      </c>
      <c r="F134">
        <v>23</v>
      </c>
      <c r="G134">
        <f>Table1[[#This Row],[Price]]*Table1[[#This Row],[Quantity]]</f>
        <v>46000</v>
      </c>
      <c r="H134" t="s">
        <v>20</v>
      </c>
      <c r="I134" t="s">
        <v>15</v>
      </c>
      <c r="J134" t="s">
        <v>26</v>
      </c>
      <c r="K134" t="s">
        <v>39</v>
      </c>
      <c r="L134">
        <f>Table1[[#This Row],[Total Sales]]*Table1[[#This Row],[Quantity]]</f>
        <v>1058000</v>
      </c>
      <c r="N134" t="str">
        <f>IF(AND(Table1[[#This Row],[Price]]&gt;50,Table1[[#This Row],[Category]]="Footwear"),"High","Low")</f>
        <v>Low</v>
      </c>
      <c r="O134" t="str">
        <f>TEXT(Table1[[#This Row],[Date]],"MMM-YY")</f>
        <v>Feb-25</v>
      </c>
      <c r="P134" s="10" t="str">
        <f>IF(Table1[[#This Row],[profit]]&gt;5000000,"High",IF(Table1[[#This Row],[profit]]&gt;3000000,"Medium","Low"))</f>
        <v>Low</v>
      </c>
      <c r="Q134" t="str">
        <f>IF(OR(Table1[[#This Row],[Status]]="Completed",Table1[[#This Row],[Status]]="Pending"),"Paid","no paid")</f>
        <v>Paid</v>
      </c>
    </row>
    <row r="135" spans="1:17" x14ac:dyDescent="0.25">
      <c r="A135" t="s">
        <v>186</v>
      </c>
      <c r="B135" s="1">
        <v>45695</v>
      </c>
      <c r="C135" t="s">
        <v>41</v>
      </c>
      <c r="D135" t="s">
        <v>19</v>
      </c>
      <c r="E135">
        <v>3000</v>
      </c>
      <c r="F135">
        <v>89</v>
      </c>
      <c r="G135">
        <f>Table1[[#This Row],[Price]]*Table1[[#This Row],[Quantity]]</f>
        <v>267000</v>
      </c>
      <c r="H135" t="s">
        <v>50</v>
      </c>
      <c r="I135" t="s">
        <v>80</v>
      </c>
      <c r="J135" t="s">
        <v>57</v>
      </c>
      <c r="K135" t="s">
        <v>22</v>
      </c>
      <c r="L135">
        <f>Table1[[#This Row],[Total Sales]]*Table1[[#This Row],[Quantity]]</f>
        <v>23763000</v>
      </c>
      <c r="N135" t="str">
        <f>IF(AND(Table1[[#This Row],[Price]]&gt;50,Table1[[#This Row],[Category]]="Footwear"),"High","Low")</f>
        <v>Low</v>
      </c>
      <c r="O135" t="str">
        <f>TEXT(Table1[[#This Row],[Date]],"MMM-YY")</f>
        <v>Feb-25</v>
      </c>
      <c r="P135" s="10" t="str">
        <f>IF(Table1[[#This Row],[profit]]&gt;5000000,"High",IF(Table1[[#This Row],[profit]]&gt;3000000,"Medium","Low"))</f>
        <v>High</v>
      </c>
      <c r="Q135" t="str">
        <f>IF(OR(Table1[[#This Row],[Status]]="Completed",Table1[[#This Row],[Status]]="Pending"),"Paid","no paid")</f>
        <v>Paid</v>
      </c>
    </row>
    <row r="136" spans="1:17" x14ac:dyDescent="0.25">
      <c r="A136" t="s">
        <v>187</v>
      </c>
      <c r="B136" s="1">
        <v>45698</v>
      </c>
      <c r="C136" t="s">
        <v>34</v>
      </c>
      <c r="D136" t="s">
        <v>35</v>
      </c>
      <c r="E136">
        <v>5000</v>
      </c>
      <c r="F136">
        <v>42</v>
      </c>
      <c r="G136">
        <f>Table1[[#This Row],[Price]]*Table1[[#This Row],[Quantity]]</f>
        <v>210000</v>
      </c>
      <c r="H136" t="s">
        <v>28</v>
      </c>
      <c r="I136" t="s">
        <v>43</v>
      </c>
      <c r="J136" t="s">
        <v>30</v>
      </c>
      <c r="K136" t="s">
        <v>22</v>
      </c>
      <c r="L136">
        <f>Table1[[#This Row],[Total Sales]]*Table1[[#This Row],[Quantity]]</f>
        <v>8820000</v>
      </c>
      <c r="N136" t="str">
        <f>IF(AND(Table1[[#This Row],[Price]]&gt;50,Table1[[#This Row],[Category]]="Footwear"),"High","Low")</f>
        <v>Low</v>
      </c>
      <c r="O136" t="str">
        <f>TEXT(Table1[[#This Row],[Date]],"MMM-YY")</f>
        <v>Feb-25</v>
      </c>
      <c r="P136" s="10" t="str">
        <f>IF(Table1[[#This Row],[profit]]&gt;5000000,"High",IF(Table1[[#This Row],[profit]]&gt;3000000,"Medium","Low"))</f>
        <v>High</v>
      </c>
      <c r="Q136" t="str">
        <f>IF(OR(Table1[[#This Row],[Status]]="Completed",Table1[[#This Row],[Status]]="Pending"),"Paid","no paid")</f>
        <v>Paid</v>
      </c>
    </row>
    <row r="137" spans="1:17" x14ac:dyDescent="0.25">
      <c r="A137" t="s">
        <v>188</v>
      </c>
      <c r="B137" s="1">
        <v>45699</v>
      </c>
      <c r="C137" t="s">
        <v>64</v>
      </c>
      <c r="D137" t="s">
        <v>60</v>
      </c>
      <c r="E137">
        <v>2000</v>
      </c>
      <c r="F137">
        <v>51</v>
      </c>
      <c r="G137">
        <f>Table1[[#This Row],[Price]]*Table1[[#This Row],[Quantity]]</f>
        <v>102000</v>
      </c>
      <c r="H137" t="s">
        <v>56</v>
      </c>
      <c r="I137" t="s">
        <v>21</v>
      </c>
      <c r="J137" t="s">
        <v>38</v>
      </c>
      <c r="K137" t="s">
        <v>39</v>
      </c>
      <c r="L137">
        <f>Table1[[#This Row],[Total Sales]]*Table1[[#This Row],[Quantity]]</f>
        <v>5202000</v>
      </c>
      <c r="N137" t="str">
        <f>IF(AND(Table1[[#This Row],[Price]]&gt;50,Table1[[#This Row],[Category]]="Footwear"),"High","Low")</f>
        <v>Low</v>
      </c>
      <c r="O137" t="str">
        <f>TEXT(Table1[[#This Row],[Date]],"MMM-YY")</f>
        <v>Feb-25</v>
      </c>
      <c r="P137" s="10" t="str">
        <f>IF(Table1[[#This Row],[profit]]&gt;5000000,"High",IF(Table1[[#This Row],[profit]]&gt;3000000,"Medium","Low"))</f>
        <v>High</v>
      </c>
      <c r="Q137" t="str">
        <f>IF(OR(Table1[[#This Row],[Status]]="Completed",Table1[[#This Row],[Status]]="Pending"),"Paid","no paid")</f>
        <v>Paid</v>
      </c>
    </row>
    <row r="138" spans="1:17" x14ac:dyDescent="0.25">
      <c r="A138" t="s">
        <v>189</v>
      </c>
      <c r="B138" s="1">
        <v>45736</v>
      </c>
      <c r="C138" t="s">
        <v>32</v>
      </c>
      <c r="D138" t="s">
        <v>19</v>
      </c>
      <c r="E138">
        <v>2000</v>
      </c>
      <c r="F138">
        <v>3</v>
      </c>
      <c r="G138">
        <f>Table1[[#This Row],[Price]]*Table1[[#This Row],[Quantity]]</f>
        <v>6000</v>
      </c>
      <c r="H138" t="s">
        <v>42</v>
      </c>
      <c r="I138" t="s">
        <v>21</v>
      </c>
      <c r="J138" t="s">
        <v>16</v>
      </c>
      <c r="K138" t="s">
        <v>22</v>
      </c>
      <c r="L138">
        <f>Table1[[#This Row],[Total Sales]]*Table1[[#This Row],[Quantity]]</f>
        <v>18000</v>
      </c>
      <c r="N138" t="str">
        <f>IF(AND(Table1[[#This Row],[Price]]&gt;50,Table1[[#This Row],[Category]]="Footwear"),"High","Low")</f>
        <v>Low</v>
      </c>
      <c r="O138" t="str">
        <f>TEXT(Table1[[#This Row],[Date]],"MMM-YY")</f>
        <v>Mar-25</v>
      </c>
      <c r="P138" s="10" t="str">
        <f>IF(Table1[[#This Row],[profit]]&gt;5000000,"High",IF(Table1[[#This Row],[profit]]&gt;3000000,"Medium","Low"))</f>
        <v>Low</v>
      </c>
      <c r="Q138" t="str">
        <f>IF(OR(Table1[[#This Row],[Status]]="Completed",Table1[[#This Row],[Status]]="Pending"),"Paid","no paid")</f>
        <v>Paid</v>
      </c>
    </row>
    <row r="139" spans="1:17" x14ac:dyDescent="0.25">
      <c r="A139" t="s">
        <v>190</v>
      </c>
      <c r="B139" s="1">
        <v>45699</v>
      </c>
      <c r="C139" t="s">
        <v>32</v>
      </c>
      <c r="D139" t="s">
        <v>19</v>
      </c>
      <c r="E139">
        <v>1000</v>
      </c>
      <c r="F139">
        <v>5</v>
      </c>
      <c r="G139">
        <f>Table1[[#This Row],[Price]]*Table1[[#This Row],[Quantity]]</f>
        <v>5000</v>
      </c>
      <c r="H139" t="s">
        <v>24</v>
      </c>
      <c r="I139" t="s">
        <v>67</v>
      </c>
      <c r="J139" t="s">
        <v>30</v>
      </c>
      <c r="K139" t="s">
        <v>39</v>
      </c>
      <c r="L139">
        <f>Table1[[#This Row],[Total Sales]]*Table1[[#This Row],[Quantity]]</f>
        <v>25000</v>
      </c>
      <c r="N139" t="str">
        <f>IF(AND(Table1[[#This Row],[Price]]&gt;50,Table1[[#This Row],[Category]]="Footwear"),"High","Low")</f>
        <v>Low</v>
      </c>
      <c r="O139" t="str">
        <f>TEXT(Table1[[#This Row],[Date]],"MMM-YY")</f>
        <v>Feb-25</v>
      </c>
      <c r="P139" s="10" t="str">
        <f>IF(Table1[[#This Row],[profit]]&gt;5000000,"High",IF(Table1[[#This Row],[profit]]&gt;3000000,"Medium","Low"))</f>
        <v>Low</v>
      </c>
      <c r="Q139" t="str">
        <f>IF(OR(Table1[[#This Row],[Status]]="Completed",Table1[[#This Row],[Status]]="Pending"),"Paid","no paid")</f>
        <v>Paid</v>
      </c>
    </row>
    <row r="140" spans="1:17" x14ac:dyDescent="0.25">
      <c r="A140" t="s">
        <v>191</v>
      </c>
      <c r="B140" s="1">
        <v>45734</v>
      </c>
      <c r="C140" t="s">
        <v>55</v>
      </c>
      <c r="D140" t="s">
        <v>19</v>
      </c>
      <c r="E140">
        <v>500</v>
      </c>
      <c r="F140">
        <v>2</v>
      </c>
      <c r="G140">
        <f>Table1[[#This Row],[Price]]*Table1[[#This Row],[Quantity]]</f>
        <v>1000</v>
      </c>
      <c r="H140" t="s">
        <v>53</v>
      </c>
      <c r="I140" t="s">
        <v>25</v>
      </c>
      <c r="J140" t="s">
        <v>38</v>
      </c>
      <c r="K140" t="s">
        <v>22</v>
      </c>
      <c r="L140">
        <f>Table1[[#This Row],[Total Sales]]*Table1[[#This Row],[Quantity]]</f>
        <v>2000</v>
      </c>
      <c r="N140" t="str">
        <f>IF(AND(Table1[[#This Row],[Price]]&gt;50,Table1[[#This Row],[Category]]="Footwear"),"High","Low")</f>
        <v>Low</v>
      </c>
      <c r="O140" t="str">
        <f>TEXT(Table1[[#This Row],[Date]],"MMM-YY")</f>
        <v>Mar-25</v>
      </c>
      <c r="P140" s="10" t="str">
        <f>IF(Table1[[#This Row],[profit]]&gt;5000000,"High",IF(Table1[[#This Row],[profit]]&gt;3000000,"Medium","Low"))</f>
        <v>Low</v>
      </c>
      <c r="Q140" t="str">
        <f>IF(OR(Table1[[#This Row],[Status]]="Completed",Table1[[#This Row],[Status]]="Pending"),"Paid","no paid")</f>
        <v>Paid</v>
      </c>
    </row>
    <row r="141" spans="1:17" x14ac:dyDescent="0.25">
      <c r="A141" t="s">
        <v>192</v>
      </c>
      <c r="B141" s="1">
        <v>45735</v>
      </c>
      <c r="C141" t="s">
        <v>32</v>
      </c>
      <c r="D141" t="s">
        <v>19</v>
      </c>
      <c r="E141">
        <v>2000</v>
      </c>
      <c r="F141">
        <v>2</v>
      </c>
      <c r="G141">
        <f>Table1[[#This Row],[Price]]*Table1[[#This Row],[Quantity]]</f>
        <v>4000</v>
      </c>
      <c r="H141" t="s">
        <v>28</v>
      </c>
      <c r="I141" t="s">
        <v>43</v>
      </c>
      <c r="J141" t="s">
        <v>16</v>
      </c>
      <c r="K141" t="s">
        <v>22</v>
      </c>
      <c r="L141">
        <f>Table1[[#This Row],[Total Sales]]*Table1[[#This Row],[Quantity]]</f>
        <v>8000</v>
      </c>
      <c r="N141" t="str">
        <f>IF(AND(Table1[[#This Row],[Price]]&gt;50,Table1[[#This Row],[Category]]="Footwear"),"High","Low")</f>
        <v>Low</v>
      </c>
      <c r="O141" t="str">
        <f>TEXT(Table1[[#This Row],[Date]],"MMM-YY")</f>
        <v>Mar-25</v>
      </c>
      <c r="P141" s="10" t="str">
        <f>IF(Table1[[#This Row],[profit]]&gt;5000000,"High",IF(Table1[[#This Row],[profit]]&gt;3000000,"Medium","Low"))</f>
        <v>Low</v>
      </c>
      <c r="Q141" t="str">
        <f>IF(OR(Table1[[#This Row],[Status]]="Completed",Table1[[#This Row],[Status]]="Pending"),"Paid","no paid")</f>
        <v>Paid</v>
      </c>
    </row>
    <row r="142" spans="1:17" x14ac:dyDescent="0.25">
      <c r="A142" t="s">
        <v>193</v>
      </c>
      <c r="B142" s="1">
        <v>45737</v>
      </c>
      <c r="C142" t="s">
        <v>41</v>
      </c>
      <c r="D142" t="s">
        <v>19</v>
      </c>
      <c r="E142">
        <v>3000</v>
      </c>
      <c r="F142">
        <v>2</v>
      </c>
      <c r="G142">
        <f>Table1[[#This Row],[Price]]*Table1[[#This Row],[Quantity]]</f>
        <v>6000</v>
      </c>
      <c r="H142" t="s">
        <v>24</v>
      </c>
      <c r="I142" t="s">
        <v>43</v>
      </c>
      <c r="J142" t="s">
        <v>38</v>
      </c>
      <c r="K142" t="s">
        <v>22</v>
      </c>
      <c r="L142">
        <f>Table1[[#This Row],[Total Sales]]*Table1[[#This Row],[Quantity]]</f>
        <v>12000</v>
      </c>
      <c r="N142" t="str">
        <f>IF(AND(Table1[[#This Row],[Price]]&gt;50,Table1[[#This Row],[Category]]="Footwear"),"High","Low")</f>
        <v>Low</v>
      </c>
      <c r="O142" t="str">
        <f>TEXT(Table1[[#This Row],[Date]],"MMM-YY")</f>
        <v>Mar-25</v>
      </c>
      <c r="P142" s="10" t="str">
        <f>IF(Table1[[#This Row],[profit]]&gt;5000000,"High",IF(Table1[[#This Row],[profit]]&gt;3000000,"Medium","Low"))</f>
        <v>Low</v>
      </c>
      <c r="Q142" t="str">
        <f>IF(OR(Table1[[#This Row],[Status]]="Completed",Table1[[#This Row],[Status]]="Pending"),"Paid","no paid")</f>
        <v>Paid</v>
      </c>
    </row>
    <row r="143" spans="1:17" x14ac:dyDescent="0.25">
      <c r="A143" t="s">
        <v>194</v>
      </c>
      <c r="B143" s="1">
        <v>45731</v>
      </c>
      <c r="C143" t="s">
        <v>41</v>
      </c>
      <c r="D143" t="s">
        <v>19</v>
      </c>
      <c r="E143">
        <v>5000</v>
      </c>
      <c r="F143">
        <v>33</v>
      </c>
      <c r="G143">
        <f>Table1[[#This Row],[Price]]*Table1[[#This Row],[Quantity]]</f>
        <v>165000</v>
      </c>
      <c r="H143" t="s">
        <v>42</v>
      </c>
      <c r="I143" t="s">
        <v>43</v>
      </c>
      <c r="J143" t="s">
        <v>57</v>
      </c>
      <c r="K143" t="s">
        <v>39</v>
      </c>
      <c r="L143">
        <f>Table1[[#This Row],[Total Sales]]*Table1[[#This Row],[Quantity]]</f>
        <v>5445000</v>
      </c>
      <c r="N143" t="str">
        <f>IF(AND(Table1[[#This Row],[Price]]&gt;50,Table1[[#This Row],[Category]]="Footwear"),"High","Low")</f>
        <v>Low</v>
      </c>
      <c r="O143" t="str">
        <f>TEXT(Table1[[#This Row],[Date]],"MMM-YY")</f>
        <v>Mar-25</v>
      </c>
      <c r="P143" s="10" t="str">
        <f>IF(Table1[[#This Row],[profit]]&gt;5000000,"High",IF(Table1[[#This Row],[profit]]&gt;3000000,"Medium","Low"))</f>
        <v>High</v>
      </c>
      <c r="Q143" t="str">
        <f>IF(OR(Table1[[#This Row],[Status]]="Completed",Table1[[#This Row],[Status]]="Pending"),"Paid","no paid")</f>
        <v>Paid</v>
      </c>
    </row>
    <row r="144" spans="1:17" x14ac:dyDescent="0.25">
      <c r="A144" t="s">
        <v>195</v>
      </c>
      <c r="B144" s="1">
        <v>45747</v>
      </c>
      <c r="C144" t="s">
        <v>64</v>
      </c>
      <c r="D144" t="s">
        <v>60</v>
      </c>
      <c r="E144">
        <v>2000</v>
      </c>
      <c r="F144">
        <v>54</v>
      </c>
      <c r="G144">
        <f>Table1[[#This Row],[Price]]*Table1[[#This Row],[Quantity]]</f>
        <v>108000</v>
      </c>
      <c r="H144" t="s">
        <v>79</v>
      </c>
      <c r="I144" t="s">
        <v>29</v>
      </c>
      <c r="J144" t="s">
        <v>38</v>
      </c>
      <c r="K144" t="s">
        <v>39</v>
      </c>
      <c r="L144">
        <f>Table1[[#This Row],[Total Sales]]*Table1[[#This Row],[Quantity]]</f>
        <v>5832000</v>
      </c>
      <c r="N144" t="str">
        <f>IF(AND(Table1[[#This Row],[Price]]&gt;50,Table1[[#This Row],[Category]]="Footwear"),"High","Low")</f>
        <v>Low</v>
      </c>
      <c r="O144" t="str">
        <f>TEXT(Table1[[#This Row],[Date]],"MMM-YY")</f>
        <v>Mar-25</v>
      </c>
      <c r="P144" s="10" t="str">
        <f>IF(Table1[[#This Row],[profit]]&gt;5000000,"High",IF(Table1[[#This Row],[profit]]&gt;3000000,"Medium","Low"))</f>
        <v>High</v>
      </c>
      <c r="Q144" t="str">
        <f>IF(OR(Table1[[#This Row],[Status]]="Completed",Table1[[#This Row],[Status]]="Pending"),"Paid","no paid")</f>
        <v>Paid</v>
      </c>
    </row>
    <row r="145" spans="1:17" x14ac:dyDescent="0.25">
      <c r="A145" t="s">
        <v>196</v>
      </c>
      <c r="B145" s="1">
        <v>45715</v>
      </c>
      <c r="C145" t="s">
        <v>52</v>
      </c>
      <c r="D145" t="s">
        <v>35</v>
      </c>
      <c r="E145">
        <v>2000</v>
      </c>
      <c r="F145">
        <v>56</v>
      </c>
      <c r="G145">
        <f>Table1[[#This Row],[Price]]*Table1[[#This Row],[Quantity]]</f>
        <v>112000</v>
      </c>
      <c r="H145" t="s">
        <v>53</v>
      </c>
      <c r="I145" t="s">
        <v>67</v>
      </c>
      <c r="J145" t="s">
        <v>57</v>
      </c>
      <c r="K145" t="s">
        <v>39</v>
      </c>
      <c r="L145">
        <f>Table1[[#This Row],[Total Sales]]*Table1[[#This Row],[Quantity]]</f>
        <v>6272000</v>
      </c>
      <c r="N145" t="str">
        <f>IF(AND(Table1[[#This Row],[Price]]&gt;50,Table1[[#This Row],[Category]]="Footwear"),"High","Low")</f>
        <v>Low</v>
      </c>
      <c r="O145" t="str">
        <f>TEXT(Table1[[#This Row],[Date]],"MMM-YY")</f>
        <v>Feb-25</v>
      </c>
      <c r="P145" s="10" t="str">
        <f>IF(Table1[[#This Row],[profit]]&gt;5000000,"High",IF(Table1[[#This Row],[profit]]&gt;3000000,"Medium","Low"))</f>
        <v>High</v>
      </c>
      <c r="Q145" t="str">
        <f>IF(OR(Table1[[#This Row],[Status]]="Completed",Table1[[#This Row],[Status]]="Pending"),"Paid","no paid")</f>
        <v>Paid</v>
      </c>
    </row>
    <row r="146" spans="1:17" x14ac:dyDescent="0.25">
      <c r="A146" t="s">
        <v>197</v>
      </c>
      <c r="B146" s="1">
        <v>45724</v>
      </c>
      <c r="C146" t="s">
        <v>32</v>
      </c>
      <c r="D146" t="s">
        <v>19</v>
      </c>
      <c r="E146">
        <v>1000</v>
      </c>
      <c r="F146">
        <v>72</v>
      </c>
      <c r="G146">
        <f>Table1[[#This Row],[Price]]*Table1[[#This Row],[Quantity]]</f>
        <v>72000</v>
      </c>
      <c r="H146" t="s">
        <v>53</v>
      </c>
      <c r="I146" t="s">
        <v>62</v>
      </c>
      <c r="J146" t="s">
        <v>16</v>
      </c>
      <c r="K146" t="s">
        <v>22</v>
      </c>
      <c r="L146">
        <f>Table1[[#This Row],[Total Sales]]*Table1[[#This Row],[Quantity]]</f>
        <v>5184000</v>
      </c>
      <c r="N146" t="str">
        <f>IF(AND(Table1[[#This Row],[Price]]&gt;50,Table1[[#This Row],[Category]]="Footwear"),"High","Low")</f>
        <v>Low</v>
      </c>
      <c r="O146" t="str">
        <f>TEXT(Table1[[#This Row],[Date]],"MMM-YY")</f>
        <v>Mar-25</v>
      </c>
      <c r="P146" s="10" t="str">
        <f>IF(Table1[[#This Row],[profit]]&gt;5000000,"High",IF(Table1[[#This Row],[profit]]&gt;3000000,"Medium","Low"))</f>
        <v>High</v>
      </c>
      <c r="Q146" t="str">
        <f>IF(OR(Table1[[#This Row],[Status]]="Completed",Table1[[#This Row],[Status]]="Pending"),"Paid","no paid")</f>
        <v>Paid</v>
      </c>
    </row>
    <row r="147" spans="1:17" x14ac:dyDescent="0.25">
      <c r="A147" t="s">
        <v>198</v>
      </c>
      <c r="B147" s="1">
        <v>45741</v>
      </c>
      <c r="C147" t="s">
        <v>32</v>
      </c>
      <c r="D147" t="s">
        <v>19</v>
      </c>
      <c r="E147">
        <v>500</v>
      </c>
      <c r="F147">
        <v>12</v>
      </c>
      <c r="G147">
        <f>Table1[[#This Row],[Price]]*Table1[[#This Row],[Quantity]]</f>
        <v>6000</v>
      </c>
      <c r="H147" t="s">
        <v>14</v>
      </c>
      <c r="I147" t="s">
        <v>45</v>
      </c>
      <c r="J147" t="s">
        <v>16</v>
      </c>
      <c r="K147" t="s">
        <v>22</v>
      </c>
      <c r="L147">
        <f>Table1[[#This Row],[Total Sales]]*Table1[[#This Row],[Quantity]]</f>
        <v>72000</v>
      </c>
      <c r="N147" t="str">
        <f>IF(AND(Table1[[#This Row],[Price]]&gt;50,Table1[[#This Row],[Category]]="Footwear"),"High","Low")</f>
        <v>Low</v>
      </c>
      <c r="O147" t="str">
        <f>TEXT(Table1[[#This Row],[Date]],"MMM-YY")</f>
        <v>Mar-25</v>
      </c>
      <c r="P147" s="10" t="str">
        <f>IF(Table1[[#This Row],[profit]]&gt;5000000,"High",IF(Table1[[#This Row],[profit]]&gt;3000000,"Medium","Low"))</f>
        <v>Low</v>
      </c>
      <c r="Q147" t="str">
        <f>IF(OR(Table1[[#This Row],[Status]]="Completed",Table1[[#This Row],[Status]]="Pending"),"Paid","no paid")</f>
        <v>Paid</v>
      </c>
    </row>
    <row r="148" spans="1:17" x14ac:dyDescent="0.25">
      <c r="A148" t="s">
        <v>199</v>
      </c>
      <c r="B148" s="1">
        <v>45693</v>
      </c>
      <c r="C148" t="s">
        <v>12</v>
      </c>
      <c r="D148" t="s">
        <v>13</v>
      </c>
      <c r="E148">
        <v>2000</v>
      </c>
      <c r="F148">
        <v>45</v>
      </c>
      <c r="G148">
        <f>Table1[[#This Row],[Price]]*Table1[[#This Row],[Quantity]]</f>
        <v>90000</v>
      </c>
      <c r="H148" t="s">
        <v>79</v>
      </c>
      <c r="I148" t="s">
        <v>29</v>
      </c>
      <c r="J148" t="s">
        <v>38</v>
      </c>
      <c r="K148" t="s">
        <v>39</v>
      </c>
      <c r="L148">
        <f>Table1[[#This Row],[Total Sales]]*Table1[[#This Row],[Quantity]]</f>
        <v>4050000</v>
      </c>
      <c r="N148" t="str">
        <f>IF(AND(Table1[[#This Row],[Price]]&gt;50,Table1[[#This Row],[Category]]="Footwear"),"High","Low")</f>
        <v>High</v>
      </c>
      <c r="O148" t="str">
        <f>TEXT(Table1[[#This Row],[Date]],"MMM-YY")</f>
        <v>Feb-25</v>
      </c>
      <c r="P148" s="10" t="str">
        <f>IF(Table1[[#This Row],[profit]]&gt;5000000,"High",IF(Table1[[#This Row],[profit]]&gt;3000000,"Medium","Low"))</f>
        <v>Medium</v>
      </c>
      <c r="Q148" t="str">
        <f>IF(OR(Table1[[#This Row],[Status]]="Completed",Table1[[#This Row],[Status]]="Pending"),"Paid","no paid")</f>
        <v>Paid</v>
      </c>
    </row>
    <row r="149" spans="1:17" x14ac:dyDescent="0.25">
      <c r="A149" t="s">
        <v>200</v>
      </c>
      <c r="B149" s="1">
        <v>45694</v>
      </c>
      <c r="C149" t="s">
        <v>18</v>
      </c>
      <c r="D149" t="s">
        <v>19</v>
      </c>
      <c r="E149">
        <v>3000</v>
      </c>
      <c r="F149">
        <v>67</v>
      </c>
      <c r="G149">
        <f>Table1[[#This Row],[Price]]*Table1[[#This Row],[Quantity]]</f>
        <v>201000</v>
      </c>
      <c r="H149" t="s">
        <v>20</v>
      </c>
      <c r="I149" t="s">
        <v>67</v>
      </c>
      <c r="J149" t="s">
        <v>26</v>
      </c>
      <c r="K149" t="s">
        <v>22</v>
      </c>
      <c r="L149">
        <f>Table1[[#This Row],[Total Sales]]*Table1[[#This Row],[Quantity]]</f>
        <v>13467000</v>
      </c>
      <c r="N149" t="str">
        <f>IF(AND(Table1[[#This Row],[Price]]&gt;50,Table1[[#This Row],[Category]]="Footwear"),"High","Low")</f>
        <v>Low</v>
      </c>
      <c r="O149" t="str">
        <f>TEXT(Table1[[#This Row],[Date]],"MMM-YY")</f>
        <v>Feb-25</v>
      </c>
      <c r="P149" s="10" t="str">
        <f>IF(Table1[[#This Row],[profit]]&gt;5000000,"High",IF(Table1[[#This Row],[profit]]&gt;3000000,"Medium","Low"))</f>
        <v>High</v>
      </c>
      <c r="Q149" t="str">
        <f>IF(OR(Table1[[#This Row],[Status]]="Completed",Table1[[#This Row],[Status]]="Pending"),"Paid","no paid")</f>
        <v>Paid</v>
      </c>
    </row>
    <row r="150" spans="1:17" x14ac:dyDescent="0.25">
      <c r="A150" t="s">
        <v>201</v>
      </c>
      <c r="B150" s="1">
        <v>45736</v>
      </c>
      <c r="C150" t="s">
        <v>12</v>
      </c>
      <c r="D150" t="s">
        <v>13</v>
      </c>
      <c r="E150">
        <v>5000</v>
      </c>
      <c r="F150">
        <v>23</v>
      </c>
      <c r="G150">
        <f>Table1[[#This Row],[Price]]*Table1[[#This Row],[Quantity]]</f>
        <v>115000</v>
      </c>
      <c r="H150" t="s">
        <v>53</v>
      </c>
      <c r="I150" t="s">
        <v>15</v>
      </c>
      <c r="J150" t="s">
        <v>57</v>
      </c>
      <c r="K150" t="s">
        <v>22</v>
      </c>
      <c r="L150">
        <f>Table1[[#This Row],[Total Sales]]*Table1[[#This Row],[Quantity]]</f>
        <v>2645000</v>
      </c>
      <c r="N150" t="str">
        <f>IF(AND(Table1[[#This Row],[Price]]&gt;50,Table1[[#This Row],[Category]]="Footwear"),"High","Low")</f>
        <v>High</v>
      </c>
      <c r="O150" t="str">
        <f>TEXT(Table1[[#This Row],[Date]],"MMM-YY")</f>
        <v>Mar-25</v>
      </c>
      <c r="P150" s="10" t="str">
        <f>IF(Table1[[#This Row],[profit]]&gt;5000000,"High",IF(Table1[[#This Row],[profit]]&gt;3000000,"Medium","Low"))</f>
        <v>Low</v>
      </c>
      <c r="Q150" t="str">
        <f>IF(OR(Table1[[#This Row],[Status]]="Completed",Table1[[#This Row],[Status]]="Pending"),"Paid","no paid")</f>
        <v>Paid</v>
      </c>
    </row>
    <row r="151" spans="1:17" x14ac:dyDescent="0.25">
      <c r="A151" t="s">
        <v>202</v>
      </c>
      <c r="B151" s="1">
        <v>45696</v>
      </c>
      <c r="C151" t="s">
        <v>48</v>
      </c>
      <c r="D151" t="s">
        <v>49</v>
      </c>
      <c r="E151">
        <v>2000</v>
      </c>
      <c r="F151">
        <v>89</v>
      </c>
      <c r="G151">
        <f>Table1[[#This Row],[Price]]*Table1[[#This Row],[Quantity]]</f>
        <v>178000</v>
      </c>
      <c r="H151" t="s">
        <v>56</v>
      </c>
      <c r="I151" t="s">
        <v>80</v>
      </c>
      <c r="J151" t="s">
        <v>57</v>
      </c>
      <c r="K151" t="s">
        <v>39</v>
      </c>
      <c r="L151">
        <f>Table1[[#This Row],[Total Sales]]*Table1[[#This Row],[Quantity]]</f>
        <v>15842000</v>
      </c>
      <c r="N151" t="str">
        <f>IF(AND(Table1[[#This Row],[Price]]&gt;50,Table1[[#This Row],[Category]]="Footwear"),"High","Low")</f>
        <v>Low</v>
      </c>
      <c r="O151" t="str">
        <f>TEXT(Table1[[#This Row],[Date]],"MMM-YY")</f>
        <v>Feb-25</v>
      </c>
      <c r="P151" s="10" t="str">
        <f>IF(Table1[[#This Row],[profit]]&gt;5000000,"High",IF(Table1[[#This Row],[profit]]&gt;3000000,"Medium","Low"))</f>
        <v>High</v>
      </c>
      <c r="Q151" t="str">
        <f>IF(OR(Table1[[#This Row],[Status]]="Completed",Table1[[#This Row],[Status]]="Pending"),"Paid","no paid")</f>
        <v>Paid</v>
      </c>
    </row>
    <row r="152" spans="1:17" x14ac:dyDescent="0.25">
      <c r="A152" t="s">
        <v>203</v>
      </c>
      <c r="B152" s="1">
        <v>45745</v>
      </c>
      <c r="C152" t="s">
        <v>59</v>
      </c>
      <c r="D152" t="s">
        <v>60</v>
      </c>
      <c r="E152">
        <v>2000</v>
      </c>
      <c r="F152">
        <v>42</v>
      </c>
      <c r="G152">
        <f>Table1[[#This Row],[Price]]*Table1[[#This Row],[Quantity]]</f>
        <v>84000</v>
      </c>
      <c r="H152" t="s">
        <v>79</v>
      </c>
      <c r="I152" t="s">
        <v>67</v>
      </c>
      <c r="J152" t="s">
        <v>26</v>
      </c>
      <c r="K152" t="s">
        <v>22</v>
      </c>
      <c r="L152">
        <f>Table1[[#This Row],[Total Sales]]*Table1[[#This Row],[Quantity]]</f>
        <v>3528000</v>
      </c>
      <c r="N152" t="str">
        <f>IF(AND(Table1[[#This Row],[Price]]&gt;50,Table1[[#This Row],[Category]]="Footwear"),"High","Low")</f>
        <v>Low</v>
      </c>
      <c r="O152" t="str">
        <f>TEXT(Table1[[#This Row],[Date]],"MMM-YY")</f>
        <v>Mar-25</v>
      </c>
      <c r="P152" s="10" t="str">
        <f>IF(Table1[[#This Row],[profit]]&gt;5000000,"High",IF(Table1[[#This Row],[profit]]&gt;3000000,"Medium","Low"))</f>
        <v>Medium</v>
      </c>
      <c r="Q152" t="str">
        <f>IF(OR(Table1[[#This Row],[Status]]="Completed",Table1[[#This Row],[Status]]="Pending"),"Paid","no paid")</f>
        <v>Paid</v>
      </c>
    </row>
    <row r="153" spans="1:17" x14ac:dyDescent="0.25">
      <c r="A153" t="s">
        <v>204</v>
      </c>
      <c r="B153" s="1">
        <v>45716</v>
      </c>
      <c r="C153" t="s">
        <v>32</v>
      </c>
      <c r="D153" t="s">
        <v>19</v>
      </c>
      <c r="E153">
        <v>1000</v>
      </c>
      <c r="F153">
        <v>51</v>
      </c>
      <c r="G153">
        <f>Table1[[#This Row],[Price]]*Table1[[#This Row],[Quantity]]</f>
        <v>51000</v>
      </c>
      <c r="H153" t="s">
        <v>24</v>
      </c>
      <c r="I153" t="s">
        <v>62</v>
      </c>
      <c r="J153" t="s">
        <v>57</v>
      </c>
      <c r="K153" t="s">
        <v>39</v>
      </c>
      <c r="L153">
        <f>Table1[[#This Row],[Total Sales]]*Table1[[#This Row],[Quantity]]</f>
        <v>2601000</v>
      </c>
      <c r="N153" t="str">
        <f>IF(AND(Table1[[#This Row],[Price]]&gt;50,Table1[[#This Row],[Category]]="Footwear"),"High","Low")</f>
        <v>Low</v>
      </c>
      <c r="O153" t="str">
        <f>TEXT(Table1[[#This Row],[Date]],"MMM-YY")</f>
        <v>Feb-25</v>
      </c>
      <c r="P153" s="10" t="str">
        <f>IF(Table1[[#This Row],[profit]]&gt;5000000,"High",IF(Table1[[#This Row],[profit]]&gt;3000000,"Medium","Low"))</f>
        <v>Low</v>
      </c>
      <c r="Q153" t="str">
        <f>IF(OR(Table1[[#This Row],[Status]]="Completed",Table1[[#This Row],[Status]]="Pending"),"Paid","no paid")</f>
        <v>Paid</v>
      </c>
    </row>
    <row r="154" spans="1:17" x14ac:dyDescent="0.25">
      <c r="A154" t="s">
        <v>205</v>
      </c>
      <c r="B154" s="1">
        <v>45711</v>
      </c>
      <c r="C154" t="s">
        <v>32</v>
      </c>
      <c r="D154" t="s">
        <v>19</v>
      </c>
      <c r="E154">
        <v>500</v>
      </c>
      <c r="F154">
        <v>12</v>
      </c>
      <c r="G154">
        <f>Table1[[#This Row],[Price]]*Table1[[#This Row],[Quantity]]</f>
        <v>6000</v>
      </c>
      <c r="H154" t="s">
        <v>42</v>
      </c>
      <c r="I154" t="s">
        <v>21</v>
      </c>
      <c r="J154" t="s">
        <v>38</v>
      </c>
      <c r="K154" t="s">
        <v>22</v>
      </c>
      <c r="L154">
        <f>Table1[[#This Row],[Total Sales]]*Table1[[#This Row],[Quantity]]</f>
        <v>72000</v>
      </c>
      <c r="N154" t="str">
        <f>IF(AND(Table1[[#This Row],[Price]]&gt;50,Table1[[#This Row],[Category]]="Footwear"),"High","Low")</f>
        <v>Low</v>
      </c>
      <c r="O154" t="str">
        <f>TEXT(Table1[[#This Row],[Date]],"MMM-YY")</f>
        <v>Feb-25</v>
      </c>
      <c r="P154" s="10" t="str">
        <f>IF(Table1[[#This Row],[profit]]&gt;5000000,"High",IF(Table1[[#This Row],[profit]]&gt;3000000,"Medium","Low"))</f>
        <v>Low</v>
      </c>
      <c r="Q154" t="str">
        <f>IF(OR(Table1[[#This Row],[Status]]="Completed",Table1[[#This Row],[Status]]="Pending"),"Paid","no paid")</f>
        <v>Paid</v>
      </c>
    </row>
    <row r="155" spans="1:17" x14ac:dyDescent="0.25">
      <c r="A155" t="s">
        <v>206</v>
      </c>
      <c r="B155" s="1">
        <v>45717</v>
      </c>
      <c r="C155" t="s">
        <v>18</v>
      </c>
      <c r="D155" t="s">
        <v>19</v>
      </c>
      <c r="E155">
        <v>2000</v>
      </c>
      <c r="F155">
        <v>45</v>
      </c>
      <c r="G155">
        <f>Table1[[#This Row],[Price]]*Table1[[#This Row],[Quantity]]</f>
        <v>90000</v>
      </c>
      <c r="H155" t="s">
        <v>24</v>
      </c>
      <c r="I155" t="s">
        <v>25</v>
      </c>
      <c r="J155" t="s">
        <v>16</v>
      </c>
      <c r="K155" t="s">
        <v>22</v>
      </c>
      <c r="L155">
        <f>Table1[[#This Row],[Total Sales]]*Table1[[#This Row],[Quantity]]</f>
        <v>4050000</v>
      </c>
      <c r="N155" t="str">
        <f>IF(AND(Table1[[#This Row],[Price]]&gt;50,Table1[[#This Row],[Category]]="Footwear"),"High","Low")</f>
        <v>Low</v>
      </c>
      <c r="O155" t="str">
        <f>TEXT(Table1[[#This Row],[Date]],"MMM-YY")</f>
        <v>Mar-25</v>
      </c>
      <c r="P155" s="10" t="str">
        <f>IF(Table1[[#This Row],[profit]]&gt;5000000,"High",IF(Table1[[#This Row],[profit]]&gt;3000000,"Medium","Low"))</f>
        <v>Medium</v>
      </c>
      <c r="Q155" t="str">
        <f>IF(OR(Table1[[#This Row],[Status]]="Completed",Table1[[#This Row],[Status]]="Pending"),"Paid","no paid")</f>
        <v>Paid</v>
      </c>
    </row>
    <row r="156" spans="1:17" x14ac:dyDescent="0.25">
      <c r="A156" t="s">
        <v>207</v>
      </c>
      <c r="B156" s="1">
        <v>45693</v>
      </c>
      <c r="C156" t="s">
        <v>64</v>
      </c>
      <c r="D156" t="s">
        <v>60</v>
      </c>
      <c r="E156">
        <v>3000</v>
      </c>
      <c r="F156">
        <v>67</v>
      </c>
      <c r="G156">
        <f>Table1[[#This Row],[Price]]*Table1[[#This Row],[Quantity]]</f>
        <v>201000</v>
      </c>
      <c r="H156" t="s">
        <v>42</v>
      </c>
      <c r="I156" t="s">
        <v>62</v>
      </c>
      <c r="J156" t="s">
        <v>30</v>
      </c>
      <c r="K156" t="s">
        <v>22</v>
      </c>
      <c r="L156">
        <f>Table1[[#This Row],[Total Sales]]*Table1[[#This Row],[Quantity]]</f>
        <v>13467000</v>
      </c>
      <c r="N156" t="str">
        <f>IF(AND(Table1[[#This Row],[Price]]&gt;50,Table1[[#This Row],[Category]]="Footwear"),"High","Low")</f>
        <v>Low</v>
      </c>
      <c r="O156" t="str">
        <f>TEXT(Table1[[#This Row],[Date]],"MMM-YY")</f>
        <v>Feb-25</v>
      </c>
      <c r="P156" s="10" t="str">
        <f>IF(Table1[[#This Row],[profit]]&gt;5000000,"High",IF(Table1[[#This Row],[profit]]&gt;3000000,"Medium","Low"))</f>
        <v>High</v>
      </c>
      <c r="Q156" t="str">
        <f>IF(OR(Table1[[#This Row],[Status]]="Completed",Table1[[#This Row],[Status]]="Pending"),"Paid","no paid")</f>
        <v>Paid</v>
      </c>
    </row>
    <row r="157" spans="1:17" x14ac:dyDescent="0.25">
      <c r="A157" t="s">
        <v>208</v>
      </c>
      <c r="B157" s="1">
        <v>45732</v>
      </c>
      <c r="C157" t="s">
        <v>32</v>
      </c>
      <c r="D157" t="s">
        <v>19</v>
      </c>
      <c r="E157">
        <v>5000</v>
      </c>
      <c r="F157">
        <v>23</v>
      </c>
      <c r="G157">
        <f>Table1[[#This Row],[Price]]*Table1[[#This Row],[Quantity]]</f>
        <v>115000</v>
      </c>
      <c r="H157" t="s">
        <v>28</v>
      </c>
      <c r="I157" t="s">
        <v>43</v>
      </c>
      <c r="J157" t="s">
        <v>38</v>
      </c>
      <c r="K157" t="s">
        <v>39</v>
      </c>
      <c r="L157">
        <f>Table1[[#This Row],[Total Sales]]*Table1[[#This Row],[Quantity]]</f>
        <v>2645000</v>
      </c>
      <c r="N157" t="str">
        <f>IF(AND(Table1[[#This Row],[Price]]&gt;50,Table1[[#This Row],[Category]]="Footwear"),"High","Low")</f>
        <v>Low</v>
      </c>
      <c r="O157" t="str">
        <f>TEXT(Table1[[#This Row],[Date]],"MMM-YY")</f>
        <v>Mar-25</v>
      </c>
      <c r="P157" s="10" t="str">
        <f>IF(Table1[[#This Row],[profit]]&gt;5000000,"High",IF(Table1[[#This Row],[profit]]&gt;3000000,"Medium","Low"))</f>
        <v>Low</v>
      </c>
      <c r="Q157" t="str">
        <f>IF(OR(Table1[[#This Row],[Status]]="Completed",Table1[[#This Row],[Status]]="Pending"),"Paid","no paid")</f>
        <v>Paid</v>
      </c>
    </row>
    <row r="158" spans="1:17" x14ac:dyDescent="0.25">
      <c r="A158" t="s">
        <v>209</v>
      </c>
      <c r="B158" s="1">
        <v>45696</v>
      </c>
      <c r="C158" t="s">
        <v>41</v>
      </c>
      <c r="D158" t="s">
        <v>19</v>
      </c>
      <c r="E158">
        <v>2000</v>
      </c>
      <c r="F158">
        <v>89</v>
      </c>
      <c r="G158">
        <f>Table1[[#This Row],[Price]]*Table1[[#This Row],[Quantity]]</f>
        <v>178000</v>
      </c>
      <c r="H158" t="s">
        <v>42</v>
      </c>
      <c r="I158" t="s">
        <v>25</v>
      </c>
      <c r="J158" t="s">
        <v>30</v>
      </c>
      <c r="K158" t="s">
        <v>39</v>
      </c>
      <c r="L158">
        <f>Table1[[#This Row],[Total Sales]]*Table1[[#This Row],[Quantity]]</f>
        <v>15842000</v>
      </c>
      <c r="N158" t="str">
        <f>IF(AND(Table1[[#This Row],[Price]]&gt;50,Table1[[#This Row],[Category]]="Footwear"),"High","Low")</f>
        <v>Low</v>
      </c>
      <c r="O158" t="str">
        <f>TEXT(Table1[[#This Row],[Date]],"MMM-YY")</f>
        <v>Feb-25</v>
      </c>
      <c r="P158" s="10" t="str">
        <f>IF(Table1[[#This Row],[profit]]&gt;5000000,"High",IF(Table1[[#This Row],[profit]]&gt;3000000,"Medium","Low"))</f>
        <v>High</v>
      </c>
      <c r="Q158" t="str">
        <f>IF(OR(Table1[[#This Row],[Status]]="Completed",Table1[[#This Row],[Status]]="Pending"),"Paid","no paid")</f>
        <v>Paid</v>
      </c>
    </row>
    <row r="159" spans="1:17" x14ac:dyDescent="0.25">
      <c r="A159" t="s">
        <v>210</v>
      </c>
      <c r="B159" s="1">
        <v>45712</v>
      </c>
      <c r="C159" t="s">
        <v>55</v>
      </c>
      <c r="D159" t="s">
        <v>19</v>
      </c>
      <c r="E159">
        <v>2000</v>
      </c>
      <c r="F159">
        <v>42</v>
      </c>
      <c r="G159">
        <f>Table1[[#This Row],[Price]]*Table1[[#This Row],[Quantity]]</f>
        <v>84000</v>
      </c>
      <c r="H159" t="s">
        <v>71</v>
      </c>
      <c r="I159" t="s">
        <v>43</v>
      </c>
      <c r="J159" t="s">
        <v>16</v>
      </c>
      <c r="K159" t="s">
        <v>39</v>
      </c>
      <c r="L159">
        <f>Table1[[#This Row],[Total Sales]]*Table1[[#This Row],[Quantity]]</f>
        <v>3528000</v>
      </c>
      <c r="N159" t="str">
        <f>IF(AND(Table1[[#This Row],[Price]]&gt;50,Table1[[#This Row],[Category]]="Footwear"),"High","Low")</f>
        <v>Low</v>
      </c>
      <c r="O159" t="str">
        <f>TEXT(Table1[[#This Row],[Date]],"MMM-YY")</f>
        <v>Feb-25</v>
      </c>
      <c r="P159" s="10" t="str">
        <f>IF(Table1[[#This Row],[profit]]&gt;5000000,"High",IF(Table1[[#This Row],[profit]]&gt;3000000,"Medium","Low"))</f>
        <v>Medium</v>
      </c>
      <c r="Q159" t="str">
        <f>IF(OR(Table1[[#This Row],[Status]]="Completed",Table1[[#This Row],[Status]]="Pending"),"Paid","no paid")</f>
        <v>Paid</v>
      </c>
    </row>
    <row r="160" spans="1:17" x14ac:dyDescent="0.25">
      <c r="A160" t="s">
        <v>211</v>
      </c>
      <c r="B160" s="1">
        <v>45704</v>
      </c>
      <c r="C160" t="s">
        <v>34</v>
      </c>
      <c r="D160" t="s">
        <v>35</v>
      </c>
      <c r="E160">
        <v>1000</v>
      </c>
      <c r="F160">
        <v>51</v>
      </c>
      <c r="G160">
        <f>Table1[[#This Row],[Price]]*Table1[[#This Row],[Quantity]]</f>
        <v>51000</v>
      </c>
      <c r="H160" t="s">
        <v>50</v>
      </c>
      <c r="I160" t="s">
        <v>29</v>
      </c>
      <c r="J160" t="s">
        <v>57</v>
      </c>
      <c r="K160" t="s">
        <v>22</v>
      </c>
      <c r="L160">
        <f>Table1[[#This Row],[Total Sales]]*Table1[[#This Row],[Quantity]]</f>
        <v>2601000</v>
      </c>
      <c r="N160" t="str">
        <f>IF(AND(Table1[[#This Row],[Price]]&gt;50,Table1[[#This Row],[Category]]="Footwear"),"High","Low")</f>
        <v>Low</v>
      </c>
      <c r="O160" t="str">
        <f>TEXT(Table1[[#This Row],[Date]],"MMM-YY")</f>
        <v>Feb-25</v>
      </c>
      <c r="P160" s="10" t="str">
        <f>IF(Table1[[#This Row],[profit]]&gt;5000000,"High",IF(Table1[[#This Row],[profit]]&gt;3000000,"Medium","Low"))</f>
        <v>Low</v>
      </c>
      <c r="Q160" t="str">
        <f>IF(OR(Table1[[#This Row],[Status]]="Completed",Table1[[#This Row],[Status]]="Pending"),"Paid","no paid")</f>
        <v>Paid</v>
      </c>
    </row>
    <row r="161" spans="1:17" x14ac:dyDescent="0.25">
      <c r="A161" t="s">
        <v>212</v>
      </c>
      <c r="B161" s="1">
        <v>45694</v>
      </c>
      <c r="C161" t="s">
        <v>59</v>
      </c>
      <c r="D161" t="s">
        <v>60</v>
      </c>
      <c r="E161">
        <v>500</v>
      </c>
      <c r="F161">
        <v>3</v>
      </c>
      <c r="G161">
        <f>Table1[[#This Row],[Price]]*Table1[[#This Row],[Quantity]]</f>
        <v>1500</v>
      </c>
      <c r="H161" t="s">
        <v>28</v>
      </c>
      <c r="I161" t="s">
        <v>25</v>
      </c>
      <c r="J161" t="s">
        <v>57</v>
      </c>
      <c r="K161" t="s">
        <v>22</v>
      </c>
      <c r="L161">
        <f>Table1[[#This Row],[Total Sales]]*Table1[[#This Row],[Quantity]]</f>
        <v>4500</v>
      </c>
      <c r="N161" t="str">
        <f>IF(AND(Table1[[#This Row],[Price]]&gt;50,Table1[[#This Row],[Category]]="Footwear"),"High","Low")</f>
        <v>Low</v>
      </c>
      <c r="O161" t="str">
        <f>TEXT(Table1[[#This Row],[Date]],"MMM-YY")</f>
        <v>Feb-25</v>
      </c>
      <c r="P161" s="10" t="str">
        <f>IF(Table1[[#This Row],[profit]]&gt;5000000,"High",IF(Table1[[#This Row],[profit]]&gt;3000000,"Medium","Low"))</f>
        <v>Low</v>
      </c>
      <c r="Q161" t="str">
        <f>IF(OR(Table1[[#This Row],[Status]]="Completed",Table1[[#This Row],[Status]]="Pending"),"Paid","no paid")</f>
        <v>Paid</v>
      </c>
    </row>
    <row r="162" spans="1:17" x14ac:dyDescent="0.25">
      <c r="A162" t="s">
        <v>213</v>
      </c>
      <c r="B162" s="1">
        <v>45710</v>
      </c>
      <c r="C162" t="s">
        <v>18</v>
      </c>
      <c r="D162" t="s">
        <v>19</v>
      </c>
      <c r="E162">
        <v>2000</v>
      </c>
      <c r="F162">
        <v>33</v>
      </c>
      <c r="G162">
        <f>Table1[[#This Row],[Price]]*Table1[[#This Row],[Quantity]]</f>
        <v>66000</v>
      </c>
      <c r="H162" t="s">
        <v>20</v>
      </c>
      <c r="I162" t="s">
        <v>67</v>
      </c>
      <c r="J162" t="s">
        <v>30</v>
      </c>
      <c r="K162" t="s">
        <v>39</v>
      </c>
      <c r="L162">
        <f>Table1[[#This Row],[Total Sales]]*Table1[[#This Row],[Quantity]]</f>
        <v>2178000</v>
      </c>
      <c r="N162" t="str">
        <f>IF(AND(Table1[[#This Row],[Price]]&gt;50,Table1[[#This Row],[Category]]="Footwear"),"High","Low")</f>
        <v>Low</v>
      </c>
      <c r="O162" t="str">
        <f>TEXT(Table1[[#This Row],[Date]],"MMM-YY")</f>
        <v>Feb-25</v>
      </c>
      <c r="P162" s="10" t="str">
        <f>IF(Table1[[#This Row],[profit]]&gt;5000000,"High",IF(Table1[[#This Row],[profit]]&gt;3000000,"Medium","Low"))</f>
        <v>Low</v>
      </c>
      <c r="Q162" t="str">
        <f>IF(OR(Table1[[#This Row],[Status]]="Completed",Table1[[#This Row],[Status]]="Pending"),"Paid","no paid")</f>
        <v>Paid</v>
      </c>
    </row>
    <row r="163" spans="1:17" x14ac:dyDescent="0.25">
      <c r="A163" t="s">
        <v>214</v>
      </c>
      <c r="B163" s="1">
        <v>45697</v>
      </c>
      <c r="C163" t="s">
        <v>41</v>
      </c>
      <c r="D163" t="s">
        <v>19</v>
      </c>
      <c r="E163">
        <v>3000</v>
      </c>
      <c r="F163">
        <v>54</v>
      </c>
      <c r="G163">
        <f>Table1[[#This Row],[Price]]*Table1[[#This Row],[Quantity]]</f>
        <v>162000</v>
      </c>
      <c r="H163" t="s">
        <v>28</v>
      </c>
      <c r="I163" t="s">
        <v>80</v>
      </c>
      <c r="J163" t="s">
        <v>30</v>
      </c>
      <c r="K163" t="s">
        <v>22</v>
      </c>
      <c r="L163">
        <f>Table1[[#This Row],[Total Sales]]*Table1[[#This Row],[Quantity]]</f>
        <v>8748000</v>
      </c>
      <c r="N163" t="str">
        <f>IF(AND(Table1[[#This Row],[Price]]&gt;50,Table1[[#This Row],[Category]]="Footwear"),"High","Low")</f>
        <v>Low</v>
      </c>
      <c r="O163" t="str">
        <f>TEXT(Table1[[#This Row],[Date]],"MMM-YY")</f>
        <v>Feb-25</v>
      </c>
      <c r="P163" s="10" t="str">
        <f>IF(Table1[[#This Row],[profit]]&gt;5000000,"High",IF(Table1[[#This Row],[profit]]&gt;3000000,"Medium","Low"))</f>
        <v>High</v>
      </c>
      <c r="Q163" t="str">
        <f>IF(OR(Table1[[#This Row],[Status]]="Completed",Table1[[#This Row],[Status]]="Pending"),"Paid","no paid")</f>
        <v>Paid</v>
      </c>
    </row>
    <row r="164" spans="1:17" x14ac:dyDescent="0.25">
      <c r="A164" t="s">
        <v>215</v>
      </c>
      <c r="B164" s="1">
        <v>45708</v>
      </c>
      <c r="C164" t="s">
        <v>12</v>
      </c>
      <c r="D164" t="s">
        <v>13</v>
      </c>
      <c r="E164">
        <v>5000</v>
      </c>
      <c r="F164">
        <v>56</v>
      </c>
      <c r="G164">
        <f>Table1[[#This Row],[Price]]*Table1[[#This Row],[Quantity]]</f>
        <v>280000</v>
      </c>
      <c r="H164" t="s">
        <v>71</v>
      </c>
      <c r="I164" t="s">
        <v>37</v>
      </c>
      <c r="J164" t="s">
        <v>38</v>
      </c>
      <c r="K164" t="s">
        <v>39</v>
      </c>
      <c r="L164">
        <f>Table1[[#This Row],[Total Sales]]*Table1[[#This Row],[Quantity]]</f>
        <v>15680000</v>
      </c>
      <c r="N164" t="str">
        <f>IF(AND(Table1[[#This Row],[Price]]&gt;50,Table1[[#This Row],[Category]]="Footwear"),"High","Low")</f>
        <v>High</v>
      </c>
      <c r="O164" t="str">
        <f>TEXT(Table1[[#This Row],[Date]],"MMM-YY")</f>
        <v>Feb-25</v>
      </c>
      <c r="P164" s="10" t="str">
        <f>IF(Table1[[#This Row],[profit]]&gt;5000000,"High",IF(Table1[[#This Row],[profit]]&gt;3000000,"Medium","Low"))</f>
        <v>High</v>
      </c>
      <c r="Q164" t="str">
        <f>IF(OR(Table1[[#This Row],[Status]]="Completed",Table1[[#This Row],[Status]]="Pending"),"Paid","no paid")</f>
        <v>Paid</v>
      </c>
    </row>
    <row r="165" spans="1:17" x14ac:dyDescent="0.25">
      <c r="A165" t="s">
        <v>216</v>
      </c>
      <c r="B165" s="1">
        <v>45713</v>
      </c>
      <c r="C165" t="s">
        <v>32</v>
      </c>
      <c r="D165" t="s">
        <v>19</v>
      </c>
      <c r="E165">
        <v>2000</v>
      </c>
      <c r="F165">
        <v>72</v>
      </c>
      <c r="G165">
        <f>Table1[[#This Row],[Price]]*Table1[[#This Row],[Quantity]]</f>
        <v>144000</v>
      </c>
      <c r="H165" t="s">
        <v>53</v>
      </c>
      <c r="I165" t="s">
        <v>45</v>
      </c>
      <c r="J165" t="s">
        <v>16</v>
      </c>
      <c r="K165" t="s">
        <v>22</v>
      </c>
      <c r="L165">
        <f>Table1[[#This Row],[Total Sales]]*Table1[[#This Row],[Quantity]]</f>
        <v>10368000</v>
      </c>
      <c r="N165" t="str">
        <f>IF(AND(Table1[[#This Row],[Price]]&gt;50,Table1[[#This Row],[Category]]="Footwear"),"High","Low")</f>
        <v>Low</v>
      </c>
      <c r="O165" t="str">
        <f>TEXT(Table1[[#This Row],[Date]],"MMM-YY")</f>
        <v>Feb-25</v>
      </c>
      <c r="P165" s="10" t="str">
        <f>IF(Table1[[#This Row],[profit]]&gt;5000000,"High",IF(Table1[[#This Row],[profit]]&gt;3000000,"Medium","Low"))</f>
        <v>High</v>
      </c>
      <c r="Q165" t="str">
        <f>IF(OR(Table1[[#This Row],[Status]]="Completed",Table1[[#This Row],[Status]]="Pending"),"Paid","no paid")</f>
        <v>Paid</v>
      </c>
    </row>
    <row r="166" spans="1:17" x14ac:dyDescent="0.25">
      <c r="A166" t="s">
        <v>217</v>
      </c>
      <c r="B166" s="1">
        <v>45730</v>
      </c>
      <c r="C166" t="s">
        <v>48</v>
      </c>
      <c r="D166" t="s">
        <v>49</v>
      </c>
      <c r="E166">
        <v>2000</v>
      </c>
      <c r="F166">
        <v>12</v>
      </c>
      <c r="G166">
        <f>Table1[[#This Row],[Price]]*Table1[[#This Row],[Quantity]]</f>
        <v>24000</v>
      </c>
      <c r="H166" t="s">
        <v>50</v>
      </c>
      <c r="I166" t="s">
        <v>15</v>
      </c>
      <c r="J166" t="s">
        <v>26</v>
      </c>
      <c r="K166" t="s">
        <v>22</v>
      </c>
      <c r="L166">
        <f>Table1[[#This Row],[Total Sales]]*Table1[[#This Row],[Quantity]]</f>
        <v>288000</v>
      </c>
      <c r="N166" t="str">
        <f>IF(AND(Table1[[#This Row],[Price]]&gt;50,Table1[[#This Row],[Category]]="Footwear"),"High","Low")</f>
        <v>Low</v>
      </c>
      <c r="O166" t="str">
        <f>TEXT(Table1[[#This Row],[Date]],"MMM-YY")</f>
        <v>Mar-25</v>
      </c>
      <c r="P166" s="10" t="str">
        <f>IF(Table1[[#This Row],[profit]]&gt;5000000,"High",IF(Table1[[#This Row],[profit]]&gt;3000000,"Medium","Low"))</f>
        <v>Low</v>
      </c>
      <c r="Q166" t="str">
        <f>IF(OR(Table1[[#This Row],[Status]]="Completed",Table1[[#This Row],[Status]]="Pending"),"Paid","no paid")</f>
        <v>Paid</v>
      </c>
    </row>
    <row r="167" spans="1:17" x14ac:dyDescent="0.25">
      <c r="A167" t="s">
        <v>218</v>
      </c>
      <c r="B167" s="1">
        <v>45746</v>
      </c>
      <c r="C167" t="s">
        <v>59</v>
      </c>
      <c r="D167" t="s">
        <v>60</v>
      </c>
      <c r="E167">
        <v>1000</v>
      </c>
      <c r="F167">
        <v>45</v>
      </c>
      <c r="G167">
        <f>Table1[[#This Row],[Price]]*Table1[[#This Row],[Quantity]]</f>
        <v>45000</v>
      </c>
      <c r="H167" t="s">
        <v>71</v>
      </c>
      <c r="I167" t="s">
        <v>37</v>
      </c>
      <c r="J167" t="s">
        <v>30</v>
      </c>
      <c r="K167" t="s">
        <v>22</v>
      </c>
      <c r="L167">
        <f>Table1[[#This Row],[Total Sales]]*Table1[[#This Row],[Quantity]]</f>
        <v>2025000</v>
      </c>
      <c r="N167" t="str">
        <f>IF(AND(Table1[[#This Row],[Price]]&gt;50,Table1[[#This Row],[Category]]="Footwear"),"High","Low")</f>
        <v>Low</v>
      </c>
      <c r="O167" t="str">
        <f>TEXT(Table1[[#This Row],[Date]],"MMM-YY")</f>
        <v>Mar-25</v>
      </c>
      <c r="P167" s="10" t="str">
        <f>IF(Table1[[#This Row],[profit]]&gt;5000000,"High",IF(Table1[[#This Row],[profit]]&gt;3000000,"Medium","Low"))</f>
        <v>Low</v>
      </c>
      <c r="Q167" t="str">
        <f>IF(OR(Table1[[#This Row],[Status]]="Completed",Table1[[#This Row],[Status]]="Pending"),"Paid","no paid")</f>
        <v>Paid</v>
      </c>
    </row>
    <row r="168" spans="1:17" x14ac:dyDescent="0.25">
      <c r="A168" t="s">
        <v>219</v>
      </c>
      <c r="B168" s="1">
        <v>45736</v>
      </c>
      <c r="C168" t="s">
        <v>64</v>
      </c>
      <c r="D168" t="s">
        <v>60</v>
      </c>
      <c r="E168">
        <v>500</v>
      </c>
      <c r="F168">
        <v>67</v>
      </c>
      <c r="G168">
        <f>Table1[[#This Row],[Price]]*Table1[[#This Row],[Quantity]]</f>
        <v>33500</v>
      </c>
      <c r="H168" t="s">
        <v>28</v>
      </c>
      <c r="I168" t="s">
        <v>62</v>
      </c>
      <c r="J168" t="s">
        <v>30</v>
      </c>
      <c r="K168" t="s">
        <v>39</v>
      </c>
      <c r="L168">
        <f>Table1[[#This Row],[Total Sales]]*Table1[[#This Row],[Quantity]]</f>
        <v>2244500</v>
      </c>
      <c r="N168" t="str">
        <f>IF(AND(Table1[[#This Row],[Price]]&gt;50,Table1[[#This Row],[Category]]="Footwear"),"High","Low")</f>
        <v>Low</v>
      </c>
      <c r="O168" t="str">
        <f>TEXT(Table1[[#This Row],[Date]],"MMM-YY")</f>
        <v>Mar-25</v>
      </c>
      <c r="P168" s="10" t="str">
        <f>IF(Table1[[#This Row],[profit]]&gt;5000000,"High",IF(Table1[[#This Row],[profit]]&gt;3000000,"Medium","Low"))</f>
        <v>Low</v>
      </c>
      <c r="Q168" t="str">
        <f>IF(OR(Table1[[#This Row],[Status]]="Completed",Table1[[#This Row],[Status]]="Pending"),"Paid","no paid")</f>
        <v>Paid</v>
      </c>
    </row>
    <row r="169" spans="1:17" x14ac:dyDescent="0.25">
      <c r="A169" t="s">
        <v>220</v>
      </c>
      <c r="B169" s="1">
        <v>45740</v>
      </c>
      <c r="C169" t="s">
        <v>55</v>
      </c>
      <c r="D169" t="s">
        <v>19</v>
      </c>
      <c r="E169">
        <v>2000</v>
      </c>
      <c r="F169">
        <v>23</v>
      </c>
      <c r="G169">
        <f>Table1[[#This Row],[Price]]*Table1[[#This Row],[Quantity]]</f>
        <v>46000</v>
      </c>
      <c r="H169" t="s">
        <v>53</v>
      </c>
      <c r="I169" t="s">
        <v>43</v>
      </c>
      <c r="J169" t="s">
        <v>16</v>
      </c>
      <c r="K169" t="s">
        <v>22</v>
      </c>
      <c r="L169">
        <f>Table1[[#This Row],[Total Sales]]*Table1[[#This Row],[Quantity]]</f>
        <v>1058000</v>
      </c>
      <c r="N169" t="str">
        <f>IF(AND(Table1[[#This Row],[Price]]&gt;50,Table1[[#This Row],[Category]]="Footwear"),"High","Low")</f>
        <v>Low</v>
      </c>
      <c r="O169" t="str">
        <f>TEXT(Table1[[#This Row],[Date]],"MMM-YY")</f>
        <v>Mar-25</v>
      </c>
      <c r="P169" s="10" t="str">
        <f>IF(Table1[[#This Row],[profit]]&gt;5000000,"High",IF(Table1[[#This Row],[profit]]&gt;3000000,"Medium","Low"))</f>
        <v>Low</v>
      </c>
      <c r="Q169" t="str">
        <f>IF(OR(Table1[[#This Row],[Status]]="Completed",Table1[[#This Row],[Status]]="Pending"),"Paid","no paid")</f>
        <v>Paid</v>
      </c>
    </row>
    <row r="170" spans="1:17" x14ac:dyDescent="0.25">
      <c r="A170" t="s">
        <v>221</v>
      </c>
      <c r="B170" s="1">
        <v>45722</v>
      </c>
      <c r="C170" t="s">
        <v>64</v>
      </c>
      <c r="D170" t="s">
        <v>60</v>
      </c>
      <c r="E170">
        <v>3000</v>
      </c>
      <c r="F170">
        <v>89</v>
      </c>
      <c r="G170">
        <f>Table1[[#This Row],[Price]]*Table1[[#This Row],[Quantity]]</f>
        <v>267000</v>
      </c>
      <c r="H170" t="s">
        <v>24</v>
      </c>
      <c r="I170" t="s">
        <v>25</v>
      </c>
      <c r="J170" t="s">
        <v>38</v>
      </c>
      <c r="K170" t="s">
        <v>39</v>
      </c>
      <c r="L170">
        <f>Table1[[#This Row],[Total Sales]]*Table1[[#This Row],[Quantity]]</f>
        <v>23763000</v>
      </c>
      <c r="N170" t="str">
        <f>IF(AND(Table1[[#This Row],[Price]]&gt;50,Table1[[#This Row],[Category]]="Footwear"),"High","Low")</f>
        <v>Low</v>
      </c>
      <c r="O170" t="str">
        <f>TEXT(Table1[[#This Row],[Date]],"MMM-YY")</f>
        <v>Mar-25</v>
      </c>
      <c r="P170" s="10" t="str">
        <f>IF(Table1[[#This Row],[profit]]&gt;5000000,"High",IF(Table1[[#This Row],[profit]]&gt;3000000,"Medium","Low"))</f>
        <v>High</v>
      </c>
      <c r="Q170" t="str">
        <f>IF(OR(Table1[[#This Row],[Status]]="Completed",Table1[[#This Row],[Status]]="Pending"),"Paid","no paid")</f>
        <v>Paid</v>
      </c>
    </row>
    <row r="171" spans="1:17" x14ac:dyDescent="0.25">
      <c r="A171" t="s">
        <v>222</v>
      </c>
      <c r="B171" s="1">
        <v>45716</v>
      </c>
      <c r="C171" t="s">
        <v>55</v>
      </c>
      <c r="D171" t="s">
        <v>19</v>
      </c>
      <c r="E171">
        <v>5000</v>
      </c>
      <c r="F171">
        <v>42</v>
      </c>
      <c r="G171">
        <f>Table1[[#This Row],[Price]]*Table1[[#This Row],[Quantity]]</f>
        <v>210000</v>
      </c>
      <c r="H171" t="s">
        <v>14</v>
      </c>
      <c r="I171" t="s">
        <v>21</v>
      </c>
      <c r="J171" t="s">
        <v>57</v>
      </c>
      <c r="K171" t="s">
        <v>22</v>
      </c>
      <c r="L171">
        <f>Table1[[#This Row],[Total Sales]]*Table1[[#This Row],[Quantity]]</f>
        <v>8820000</v>
      </c>
      <c r="N171" t="str">
        <f>IF(AND(Table1[[#This Row],[Price]]&gt;50,Table1[[#This Row],[Category]]="Footwear"),"High","Low")</f>
        <v>Low</v>
      </c>
      <c r="O171" t="str">
        <f>TEXT(Table1[[#This Row],[Date]],"MMM-YY")</f>
        <v>Feb-25</v>
      </c>
      <c r="P171" s="10" t="str">
        <f>IF(Table1[[#This Row],[profit]]&gt;5000000,"High",IF(Table1[[#This Row],[profit]]&gt;3000000,"Medium","Low"))</f>
        <v>High</v>
      </c>
      <c r="Q171" t="str">
        <f>IF(OR(Table1[[#This Row],[Status]]="Completed",Table1[[#This Row],[Status]]="Pending"),"Paid","no paid")</f>
        <v>Paid</v>
      </c>
    </row>
    <row r="172" spans="1:17" x14ac:dyDescent="0.25">
      <c r="A172" t="s">
        <v>223</v>
      </c>
      <c r="B172" s="1">
        <v>45716</v>
      </c>
      <c r="C172" t="s">
        <v>32</v>
      </c>
      <c r="D172" t="s">
        <v>19</v>
      </c>
      <c r="E172">
        <v>2000</v>
      </c>
      <c r="F172">
        <v>51</v>
      </c>
      <c r="G172">
        <f>Table1[[#This Row],[Price]]*Table1[[#This Row],[Quantity]]</f>
        <v>102000</v>
      </c>
      <c r="H172" t="s">
        <v>56</v>
      </c>
      <c r="I172" t="s">
        <v>37</v>
      </c>
      <c r="J172" t="s">
        <v>38</v>
      </c>
      <c r="K172" t="s">
        <v>39</v>
      </c>
      <c r="L172">
        <f>Table1[[#This Row],[Total Sales]]*Table1[[#This Row],[Quantity]]</f>
        <v>5202000</v>
      </c>
      <c r="N172" t="str">
        <f>IF(AND(Table1[[#This Row],[Price]]&gt;50,Table1[[#This Row],[Category]]="Footwear"),"High","Low")</f>
        <v>Low</v>
      </c>
      <c r="O172" t="str">
        <f>TEXT(Table1[[#This Row],[Date]],"MMM-YY")</f>
        <v>Feb-25</v>
      </c>
      <c r="P172" s="10" t="str">
        <f>IF(Table1[[#This Row],[profit]]&gt;5000000,"High",IF(Table1[[#This Row],[profit]]&gt;3000000,"Medium","Low"))</f>
        <v>High</v>
      </c>
      <c r="Q172" t="str">
        <f>IF(OR(Table1[[#This Row],[Status]]="Completed",Table1[[#This Row],[Status]]="Pending"),"Paid","no paid")</f>
        <v>Paid</v>
      </c>
    </row>
    <row r="173" spans="1:17" x14ac:dyDescent="0.25">
      <c r="A173" t="s">
        <v>224</v>
      </c>
      <c r="B173" s="1">
        <v>45728</v>
      </c>
      <c r="C173" t="s">
        <v>48</v>
      </c>
      <c r="D173" t="s">
        <v>49</v>
      </c>
      <c r="E173">
        <v>2000</v>
      </c>
      <c r="F173">
        <v>54</v>
      </c>
      <c r="G173">
        <f>Table1[[#This Row],[Price]]*Table1[[#This Row],[Quantity]]</f>
        <v>108000</v>
      </c>
      <c r="H173" t="s">
        <v>50</v>
      </c>
      <c r="I173" t="s">
        <v>43</v>
      </c>
      <c r="J173" t="s">
        <v>16</v>
      </c>
      <c r="K173" t="s">
        <v>39</v>
      </c>
      <c r="L173">
        <f>Table1[[#This Row],[Total Sales]]*Table1[[#This Row],[Quantity]]</f>
        <v>5832000</v>
      </c>
      <c r="N173" t="str">
        <f>IF(AND(Table1[[#This Row],[Price]]&gt;50,Table1[[#This Row],[Category]]="Footwear"),"High","Low")</f>
        <v>Low</v>
      </c>
      <c r="O173" t="str">
        <f>TEXT(Table1[[#This Row],[Date]],"MMM-YY")</f>
        <v>Mar-25</v>
      </c>
      <c r="P173" s="10" t="str">
        <f>IF(Table1[[#This Row],[profit]]&gt;5000000,"High",IF(Table1[[#This Row],[profit]]&gt;3000000,"Medium","Low"))</f>
        <v>High</v>
      </c>
      <c r="Q173" t="str">
        <f>IF(OR(Table1[[#This Row],[Status]]="Completed",Table1[[#This Row],[Status]]="Pending"),"Paid","no paid")</f>
        <v>Paid</v>
      </c>
    </row>
    <row r="174" spans="1:17" x14ac:dyDescent="0.25">
      <c r="A174" t="s">
        <v>225</v>
      </c>
      <c r="B174" s="1">
        <v>45716</v>
      </c>
      <c r="C174" t="s">
        <v>64</v>
      </c>
      <c r="D174" t="s">
        <v>60</v>
      </c>
      <c r="E174">
        <v>1000</v>
      </c>
      <c r="F174">
        <v>56</v>
      </c>
      <c r="G174">
        <f>Table1[[#This Row],[Price]]*Table1[[#This Row],[Quantity]]</f>
        <v>56000</v>
      </c>
      <c r="H174" t="s">
        <v>28</v>
      </c>
      <c r="I174" t="s">
        <v>62</v>
      </c>
      <c r="J174" t="s">
        <v>38</v>
      </c>
      <c r="K174" t="s">
        <v>22</v>
      </c>
      <c r="L174">
        <f>Table1[[#This Row],[Total Sales]]*Table1[[#This Row],[Quantity]]</f>
        <v>3136000</v>
      </c>
      <c r="N174" t="str">
        <f>IF(AND(Table1[[#This Row],[Price]]&gt;50,Table1[[#This Row],[Category]]="Footwear"),"High","Low")</f>
        <v>Low</v>
      </c>
      <c r="O174" t="str">
        <f>TEXT(Table1[[#This Row],[Date]],"MMM-YY")</f>
        <v>Feb-25</v>
      </c>
      <c r="P174" s="10" t="str">
        <f>IF(Table1[[#This Row],[profit]]&gt;5000000,"High",IF(Table1[[#This Row],[profit]]&gt;3000000,"Medium","Low"))</f>
        <v>Medium</v>
      </c>
      <c r="Q174" t="str">
        <f>IF(OR(Table1[[#This Row],[Status]]="Completed",Table1[[#This Row],[Status]]="Pending"),"Paid","no paid")</f>
        <v>Paid</v>
      </c>
    </row>
    <row r="175" spans="1:17" x14ac:dyDescent="0.25">
      <c r="A175" t="s">
        <v>226</v>
      </c>
      <c r="B175" s="1">
        <v>45729</v>
      </c>
      <c r="C175" t="s">
        <v>32</v>
      </c>
      <c r="D175" t="s">
        <v>19</v>
      </c>
      <c r="E175">
        <v>500</v>
      </c>
      <c r="F175">
        <v>72</v>
      </c>
      <c r="G175">
        <f>Table1[[#This Row],[Price]]*Table1[[#This Row],[Quantity]]</f>
        <v>36000</v>
      </c>
      <c r="H175" t="s">
        <v>50</v>
      </c>
      <c r="I175" t="s">
        <v>80</v>
      </c>
      <c r="J175" t="s">
        <v>16</v>
      </c>
      <c r="K175" t="s">
        <v>39</v>
      </c>
      <c r="L175">
        <f>Table1[[#This Row],[Total Sales]]*Table1[[#This Row],[Quantity]]</f>
        <v>2592000</v>
      </c>
      <c r="N175" t="str">
        <f>IF(AND(Table1[[#This Row],[Price]]&gt;50,Table1[[#This Row],[Category]]="Footwear"),"High","Low")</f>
        <v>Low</v>
      </c>
      <c r="O175" t="str">
        <f>TEXT(Table1[[#This Row],[Date]],"MMM-YY")</f>
        <v>Mar-25</v>
      </c>
      <c r="P175" s="10" t="str">
        <f>IF(Table1[[#This Row],[profit]]&gt;5000000,"High",IF(Table1[[#This Row],[profit]]&gt;3000000,"Medium","Low"))</f>
        <v>Low</v>
      </c>
      <c r="Q175" t="str">
        <f>IF(OR(Table1[[#This Row],[Status]]="Completed",Table1[[#This Row],[Status]]="Pending"),"Paid","no paid")</f>
        <v>Paid</v>
      </c>
    </row>
    <row r="176" spans="1:17" x14ac:dyDescent="0.25">
      <c r="A176" t="s">
        <v>227</v>
      </c>
      <c r="B176" s="1">
        <v>45740</v>
      </c>
      <c r="C176" t="s">
        <v>52</v>
      </c>
      <c r="D176" t="s">
        <v>35</v>
      </c>
      <c r="E176">
        <v>2000</v>
      </c>
      <c r="F176">
        <v>12</v>
      </c>
      <c r="G176">
        <f>Table1[[#This Row],[Price]]*Table1[[#This Row],[Quantity]]</f>
        <v>24000</v>
      </c>
      <c r="H176" t="s">
        <v>50</v>
      </c>
      <c r="I176" t="s">
        <v>15</v>
      </c>
      <c r="J176" t="s">
        <v>16</v>
      </c>
      <c r="K176" t="s">
        <v>22</v>
      </c>
      <c r="L176">
        <f>Table1[[#This Row],[Total Sales]]*Table1[[#This Row],[Quantity]]</f>
        <v>288000</v>
      </c>
      <c r="N176" t="str">
        <f>IF(AND(Table1[[#This Row],[Price]]&gt;50,Table1[[#This Row],[Category]]="Footwear"),"High","Low")</f>
        <v>Low</v>
      </c>
      <c r="O176" t="str">
        <f>TEXT(Table1[[#This Row],[Date]],"MMM-YY")</f>
        <v>Mar-25</v>
      </c>
      <c r="P176" s="10" t="str">
        <f>IF(Table1[[#This Row],[profit]]&gt;5000000,"High",IF(Table1[[#This Row],[profit]]&gt;3000000,"Medium","Low"))</f>
        <v>Low</v>
      </c>
      <c r="Q176" t="str">
        <f>IF(OR(Table1[[#This Row],[Status]]="Completed",Table1[[#This Row],[Status]]="Pending"),"Paid","no paid")</f>
        <v>Paid</v>
      </c>
    </row>
    <row r="177" spans="1:17" x14ac:dyDescent="0.25">
      <c r="A177" t="s">
        <v>228</v>
      </c>
      <c r="B177" s="1">
        <v>45743</v>
      </c>
      <c r="C177" t="s">
        <v>48</v>
      </c>
      <c r="D177" t="s">
        <v>49</v>
      </c>
      <c r="E177">
        <v>3000</v>
      </c>
      <c r="F177">
        <v>45</v>
      </c>
      <c r="G177">
        <f>Table1[[#This Row],[Price]]*Table1[[#This Row],[Quantity]]</f>
        <v>135000</v>
      </c>
      <c r="H177" t="s">
        <v>53</v>
      </c>
      <c r="I177" t="s">
        <v>45</v>
      </c>
      <c r="J177" t="s">
        <v>26</v>
      </c>
      <c r="K177" t="s">
        <v>22</v>
      </c>
      <c r="L177">
        <f>Table1[[#This Row],[Total Sales]]*Table1[[#This Row],[Quantity]]</f>
        <v>6075000</v>
      </c>
      <c r="N177" t="str">
        <f>IF(AND(Table1[[#This Row],[Price]]&gt;50,Table1[[#This Row],[Category]]="Footwear"),"High","Low")</f>
        <v>Low</v>
      </c>
      <c r="O177" t="str">
        <f>TEXT(Table1[[#This Row],[Date]],"MMM-YY")</f>
        <v>Mar-25</v>
      </c>
      <c r="P177" s="10" t="str">
        <f>IF(Table1[[#This Row],[profit]]&gt;5000000,"High",IF(Table1[[#This Row],[profit]]&gt;3000000,"Medium","Low"))</f>
        <v>High</v>
      </c>
      <c r="Q177" t="str">
        <f>IF(OR(Table1[[#This Row],[Status]]="Completed",Table1[[#This Row],[Status]]="Pending"),"Paid","no paid")</f>
        <v>Paid</v>
      </c>
    </row>
    <row r="178" spans="1:17" x14ac:dyDescent="0.25">
      <c r="A178" t="s">
        <v>229</v>
      </c>
      <c r="B178" s="1">
        <v>45730</v>
      </c>
      <c r="C178" t="s">
        <v>48</v>
      </c>
      <c r="D178" t="s">
        <v>49</v>
      </c>
      <c r="E178">
        <v>5000</v>
      </c>
      <c r="F178">
        <v>67</v>
      </c>
      <c r="G178">
        <f>Table1[[#This Row],[Price]]*Table1[[#This Row],[Quantity]]</f>
        <v>335000</v>
      </c>
      <c r="H178" t="s">
        <v>50</v>
      </c>
      <c r="I178" t="s">
        <v>21</v>
      </c>
      <c r="J178" t="s">
        <v>30</v>
      </c>
      <c r="K178" t="s">
        <v>22</v>
      </c>
      <c r="L178">
        <f>Table1[[#This Row],[Total Sales]]*Table1[[#This Row],[Quantity]]</f>
        <v>22445000</v>
      </c>
      <c r="N178" t="str">
        <f>IF(AND(Table1[[#This Row],[Price]]&gt;50,Table1[[#This Row],[Category]]="Footwear"),"High","Low")</f>
        <v>Low</v>
      </c>
      <c r="O178" t="str">
        <f>TEXT(Table1[[#This Row],[Date]],"MMM-YY")</f>
        <v>Mar-25</v>
      </c>
      <c r="P178" s="10" t="str">
        <f>IF(Table1[[#This Row],[profit]]&gt;5000000,"High",IF(Table1[[#This Row],[profit]]&gt;3000000,"Medium","Low"))</f>
        <v>High</v>
      </c>
      <c r="Q178" t="str">
        <f>IF(OR(Table1[[#This Row],[Status]]="Completed",Table1[[#This Row],[Status]]="Pending"),"Paid","no paid")</f>
        <v>Paid</v>
      </c>
    </row>
    <row r="179" spans="1:17" x14ac:dyDescent="0.25">
      <c r="A179" t="s">
        <v>230</v>
      </c>
      <c r="B179" s="1">
        <v>45694</v>
      </c>
      <c r="C179" t="s">
        <v>41</v>
      </c>
      <c r="D179" t="s">
        <v>19</v>
      </c>
      <c r="E179">
        <v>2000</v>
      </c>
      <c r="F179">
        <v>23</v>
      </c>
      <c r="G179">
        <f>Table1[[#This Row],[Price]]*Table1[[#This Row],[Quantity]]</f>
        <v>46000</v>
      </c>
      <c r="H179" t="s">
        <v>20</v>
      </c>
      <c r="I179" t="s">
        <v>80</v>
      </c>
      <c r="J179" t="s">
        <v>38</v>
      </c>
      <c r="K179" t="s">
        <v>39</v>
      </c>
      <c r="L179">
        <f>Table1[[#This Row],[Total Sales]]*Table1[[#This Row],[Quantity]]</f>
        <v>1058000</v>
      </c>
      <c r="N179" t="str">
        <f>IF(AND(Table1[[#This Row],[Price]]&gt;50,Table1[[#This Row],[Category]]="Footwear"),"High","Low")</f>
        <v>Low</v>
      </c>
      <c r="O179" t="str">
        <f>TEXT(Table1[[#This Row],[Date]],"MMM-YY")</f>
        <v>Feb-25</v>
      </c>
      <c r="P179" s="10" t="str">
        <f>IF(Table1[[#This Row],[profit]]&gt;5000000,"High",IF(Table1[[#This Row],[profit]]&gt;3000000,"Medium","Low"))</f>
        <v>Low</v>
      </c>
      <c r="Q179" t="str">
        <f>IF(OR(Table1[[#This Row],[Status]]="Completed",Table1[[#This Row],[Status]]="Pending"),"Paid","no paid")</f>
        <v>Paid</v>
      </c>
    </row>
    <row r="180" spans="1:17" x14ac:dyDescent="0.25">
      <c r="A180" t="s">
        <v>231</v>
      </c>
      <c r="B180" s="1">
        <v>45741</v>
      </c>
      <c r="C180" t="s">
        <v>52</v>
      </c>
      <c r="D180" t="s">
        <v>35</v>
      </c>
      <c r="E180">
        <v>2000</v>
      </c>
      <c r="F180">
        <v>89</v>
      </c>
      <c r="G180">
        <f>Table1[[#This Row],[Price]]*Table1[[#This Row],[Quantity]]</f>
        <v>178000</v>
      </c>
      <c r="H180" t="s">
        <v>28</v>
      </c>
      <c r="I180" t="s">
        <v>62</v>
      </c>
      <c r="J180" t="s">
        <v>38</v>
      </c>
      <c r="K180" t="s">
        <v>39</v>
      </c>
      <c r="L180">
        <f>Table1[[#This Row],[Total Sales]]*Table1[[#This Row],[Quantity]]</f>
        <v>15842000</v>
      </c>
      <c r="N180" t="str">
        <f>IF(AND(Table1[[#This Row],[Price]]&gt;50,Table1[[#This Row],[Category]]="Footwear"),"High","Low")</f>
        <v>Low</v>
      </c>
      <c r="O180" t="str">
        <f>TEXT(Table1[[#This Row],[Date]],"MMM-YY")</f>
        <v>Mar-25</v>
      </c>
      <c r="P180" s="10" t="str">
        <f>IF(Table1[[#This Row],[profit]]&gt;5000000,"High",IF(Table1[[#This Row],[profit]]&gt;3000000,"Medium","Low"))</f>
        <v>High</v>
      </c>
      <c r="Q180" t="str">
        <f>IF(OR(Table1[[#This Row],[Status]]="Completed",Table1[[#This Row],[Status]]="Pending"),"Paid","no paid")</f>
        <v>Paid</v>
      </c>
    </row>
    <row r="181" spans="1:17" x14ac:dyDescent="0.25">
      <c r="A181" t="s">
        <v>232</v>
      </c>
      <c r="B181" s="1">
        <v>45720</v>
      </c>
      <c r="C181" t="s">
        <v>64</v>
      </c>
      <c r="D181" t="s">
        <v>60</v>
      </c>
      <c r="E181">
        <v>1000</v>
      </c>
      <c r="F181">
        <v>42</v>
      </c>
      <c r="G181">
        <f>Table1[[#This Row],[Price]]*Table1[[#This Row],[Quantity]]</f>
        <v>42000</v>
      </c>
      <c r="H181" t="s">
        <v>50</v>
      </c>
      <c r="I181" t="s">
        <v>45</v>
      </c>
      <c r="J181" t="s">
        <v>57</v>
      </c>
      <c r="K181" t="s">
        <v>39</v>
      </c>
      <c r="L181">
        <f>Table1[[#This Row],[Total Sales]]*Table1[[#This Row],[Quantity]]</f>
        <v>1764000</v>
      </c>
      <c r="N181" t="str">
        <f>IF(AND(Table1[[#This Row],[Price]]&gt;50,Table1[[#This Row],[Category]]="Footwear"),"High","Low")</f>
        <v>Low</v>
      </c>
      <c r="O181" t="str">
        <f>TEXT(Table1[[#This Row],[Date]],"MMM-YY")</f>
        <v>Mar-25</v>
      </c>
      <c r="P181" s="10" t="str">
        <f>IF(Table1[[#This Row],[profit]]&gt;5000000,"High",IF(Table1[[#This Row],[profit]]&gt;3000000,"Medium","Low"))</f>
        <v>Low</v>
      </c>
      <c r="Q181" t="str">
        <f>IF(OR(Table1[[#This Row],[Status]]="Completed",Table1[[#This Row],[Status]]="Pending"),"Paid","no paid")</f>
        <v>Paid</v>
      </c>
    </row>
    <row r="182" spans="1:17" x14ac:dyDescent="0.25">
      <c r="A182" t="s">
        <v>233</v>
      </c>
      <c r="B182" s="1">
        <v>45719</v>
      </c>
      <c r="C182" t="s">
        <v>12</v>
      </c>
      <c r="D182" t="s">
        <v>13</v>
      </c>
      <c r="E182">
        <v>500</v>
      </c>
      <c r="F182">
        <v>51</v>
      </c>
      <c r="G182">
        <f>Table1[[#This Row],[Price]]*Table1[[#This Row],[Quantity]]</f>
        <v>25500</v>
      </c>
      <c r="H182" t="s">
        <v>50</v>
      </c>
      <c r="I182" t="s">
        <v>67</v>
      </c>
      <c r="J182" t="s">
        <v>16</v>
      </c>
      <c r="K182" t="s">
        <v>22</v>
      </c>
      <c r="L182">
        <f>Table1[[#This Row],[Total Sales]]*Table1[[#This Row],[Quantity]]</f>
        <v>1300500</v>
      </c>
      <c r="N182" t="str">
        <f>IF(AND(Table1[[#This Row],[Price]]&gt;50,Table1[[#This Row],[Category]]="Footwear"),"High","Low")</f>
        <v>High</v>
      </c>
      <c r="O182" t="str">
        <f>TEXT(Table1[[#This Row],[Date]],"MMM-YY")</f>
        <v>Mar-25</v>
      </c>
      <c r="P182" s="10" t="str">
        <f>IF(Table1[[#This Row],[profit]]&gt;5000000,"High",IF(Table1[[#This Row],[profit]]&gt;3000000,"Medium","Low"))</f>
        <v>Low</v>
      </c>
      <c r="Q182" t="str">
        <f>IF(OR(Table1[[#This Row],[Status]]="Completed",Table1[[#This Row],[Status]]="Pending"),"Paid","no paid")</f>
        <v>Paid</v>
      </c>
    </row>
    <row r="183" spans="1:17" x14ac:dyDescent="0.25">
      <c r="A183" t="s">
        <v>234</v>
      </c>
      <c r="B183" s="1">
        <v>45749</v>
      </c>
      <c r="C183" t="s">
        <v>34</v>
      </c>
      <c r="D183" t="s">
        <v>35</v>
      </c>
      <c r="E183">
        <v>2000</v>
      </c>
      <c r="F183">
        <v>5</v>
      </c>
      <c r="G183">
        <f>Table1[[#This Row],[Price]]*Table1[[#This Row],[Quantity]]</f>
        <v>10000</v>
      </c>
      <c r="H183" t="s">
        <v>14</v>
      </c>
      <c r="I183" t="s">
        <v>25</v>
      </c>
      <c r="J183" t="s">
        <v>38</v>
      </c>
      <c r="K183" t="s">
        <v>22</v>
      </c>
      <c r="L183">
        <f>Table1[[#This Row],[Total Sales]]*Table1[[#This Row],[Quantity]]</f>
        <v>50000</v>
      </c>
      <c r="N183" t="str">
        <f>IF(AND(Table1[[#This Row],[Price]]&gt;50,Table1[[#This Row],[Category]]="Footwear"),"High","Low")</f>
        <v>Low</v>
      </c>
      <c r="O183" t="str">
        <f>TEXT(Table1[[#This Row],[Date]],"MMM-YY")</f>
        <v>Apr-25</v>
      </c>
      <c r="P183" s="10" t="str">
        <f>IF(Table1[[#This Row],[profit]]&gt;5000000,"High",IF(Table1[[#This Row],[profit]]&gt;3000000,"Medium","Low"))</f>
        <v>Low</v>
      </c>
      <c r="Q183" t="str">
        <f>IF(OR(Table1[[#This Row],[Status]]="Completed",Table1[[#This Row],[Status]]="Pending"),"Paid","no paid")</f>
        <v>Paid</v>
      </c>
    </row>
    <row r="184" spans="1:17" x14ac:dyDescent="0.25">
      <c r="A184" t="s">
        <v>235</v>
      </c>
      <c r="B184" s="1">
        <v>45741</v>
      </c>
      <c r="C184" t="s">
        <v>59</v>
      </c>
      <c r="D184" t="s">
        <v>60</v>
      </c>
      <c r="E184">
        <v>3000</v>
      </c>
      <c r="F184">
        <v>1</v>
      </c>
      <c r="G184">
        <f>Table1[[#This Row],[Price]]*Table1[[#This Row],[Quantity]]</f>
        <v>3000</v>
      </c>
      <c r="H184" t="s">
        <v>14</v>
      </c>
      <c r="I184" t="s">
        <v>62</v>
      </c>
      <c r="J184" t="s">
        <v>16</v>
      </c>
      <c r="K184" t="s">
        <v>39</v>
      </c>
      <c r="L184">
        <f>Table1[[#This Row],[Total Sales]]*Table1[[#This Row],[Quantity]]</f>
        <v>3000</v>
      </c>
      <c r="N184" t="str">
        <f>IF(AND(Table1[[#This Row],[Price]]&gt;50,Table1[[#This Row],[Category]]="Footwear"),"High","Low")</f>
        <v>Low</v>
      </c>
      <c r="O184" t="str">
        <f>TEXT(Table1[[#This Row],[Date]],"MMM-YY")</f>
        <v>Mar-25</v>
      </c>
      <c r="P184" s="10" t="str">
        <f>IF(Table1[[#This Row],[profit]]&gt;5000000,"High",IF(Table1[[#This Row],[profit]]&gt;3000000,"Medium","Low"))</f>
        <v>Low</v>
      </c>
      <c r="Q184" t="str">
        <f>IF(OR(Table1[[#This Row],[Status]]="Completed",Table1[[#This Row],[Status]]="Pending"),"Paid","no paid")</f>
        <v>Paid</v>
      </c>
    </row>
    <row r="185" spans="1:17" x14ac:dyDescent="0.25">
      <c r="A185" t="s">
        <v>236</v>
      </c>
      <c r="B185" s="1">
        <v>45705</v>
      </c>
      <c r="C185" t="s">
        <v>48</v>
      </c>
      <c r="D185" t="s">
        <v>49</v>
      </c>
      <c r="E185">
        <v>5000</v>
      </c>
      <c r="F185">
        <v>5</v>
      </c>
      <c r="G185">
        <f>Table1[[#This Row],[Price]]*Table1[[#This Row],[Quantity]]</f>
        <v>25000</v>
      </c>
      <c r="H185" t="s">
        <v>56</v>
      </c>
      <c r="I185" t="s">
        <v>43</v>
      </c>
      <c r="J185" t="s">
        <v>16</v>
      </c>
      <c r="K185" t="s">
        <v>22</v>
      </c>
      <c r="L185">
        <f>Table1[[#This Row],[Total Sales]]*Table1[[#This Row],[Quantity]]</f>
        <v>125000</v>
      </c>
      <c r="N185" t="str">
        <f>IF(AND(Table1[[#This Row],[Price]]&gt;50,Table1[[#This Row],[Category]]="Footwear"),"High","Low")</f>
        <v>Low</v>
      </c>
      <c r="O185" t="str">
        <f>TEXT(Table1[[#This Row],[Date]],"MMM-YY")</f>
        <v>Feb-25</v>
      </c>
      <c r="P185" s="10" t="str">
        <f>IF(Table1[[#This Row],[profit]]&gt;5000000,"High",IF(Table1[[#This Row],[profit]]&gt;3000000,"Medium","Low"))</f>
        <v>Low</v>
      </c>
      <c r="Q185" t="str">
        <f>IF(OR(Table1[[#This Row],[Status]]="Completed",Table1[[#This Row],[Status]]="Pending"),"Paid","no paid")</f>
        <v>Paid</v>
      </c>
    </row>
    <row r="186" spans="1:17" x14ac:dyDescent="0.25">
      <c r="A186" t="s">
        <v>237</v>
      </c>
      <c r="B186" s="1">
        <v>45738</v>
      </c>
      <c r="C186" t="s">
        <v>34</v>
      </c>
      <c r="D186" t="s">
        <v>35</v>
      </c>
      <c r="E186">
        <v>2000</v>
      </c>
      <c r="F186">
        <v>1</v>
      </c>
      <c r="G186">
        <f>Table1[[#This Row],[Price]]*Table1[[#This Row],[Quantity]]</f>
        <v>2000</v>
      </c>
      <c r="H186" t="s">
        <v>71</v>
      </c>
      <c r="I186" t="s">
        <v>29</v>
      </c>
      <c r="J186" t="s">
        <v>16</v>
      </c>
      <c r="K186" t="s">
        <v>39</v>
      </c>
      <c r="L186">
        <f>Table1[[#This Row],[Total Sales]]*Table1[[#This Row],[Quantity]]</f>
        <v>2000</v>
      </c>
      <c r="N186" t="str">
        <f>IF(AND(Table1[[#This Row],[Price]]&gt;50,Table1[[#This Row],[Category]]="Footwear"),"High","Low")</f>
        <v>Low</v>
      </c>
      <c r="O186" t="str">
        <f>TEXT(Table1[[#This Row],[Date]],"MMM-YY")</f>
        <v>Mar-25</v>
      </c>
      <c r="P186" s="10" t="str">
        <f>IF(Table1[[#This Row],[profit]]&gt;5000000,"High",IF(Table1[[#This Row],[profit]]&gt;3000000,"Medium","Low"))</f>
        <v>Low</v>
      </c>
      <c r="Q186" t="str">
        <f>IF(OR(Table1[[#This Row],[Status]]="Completed",Table1[[#This Row],[Status]]="Pending"),"Paid","no paid")</f>
        <v>Paid</v>
      </c>
    </row>
    <row r="187" spans="1:17" x14ac:dyDescent="0.25">
      <c r="A187" t="s">
        <v>238</v>
      </c>
      <c r="B187" s="1">
        <v>45718</v>
      </c>
      <c r="C187" t="s">
        <v>59</v>
      </c>
      <c r="D187" t="s">
        <v>60</v>
      </c>
      <c r="E187">
        <v>2000</v>
      </c>
      <c r="F187">
        <v>4</v>
      </c>
      <c r="G187">
        <f>Table1[[#This Row],[Price]]*Table1[[#This Row],[Quantity]]</f>
        <v>8000</v>
      </c>
      <c r="H187" t="s">
        <v>53</v>
      </c>
      <c r="I187" t="s">
        <v>15</v>
      </c>
      <c r="J187" t="s">
        <v>38</v>
      </c>
      <c r="K187" t="s">
        <v>39</v>
      </c>
      <c r="L187">
        <f>Table1[[#This Row],[Total Sales]]*Table1[[#This Row],[Quantity]]</f>
        <v>32000</v>
      </c>
      <c r="N187" t="str">
        <f>IF(AND(Table1[[#This Row],[Price]]&gt;50,Table1[[#This Row],[Category]]="Footwear"),"High","Low")</f>
        <v>Low</v>
      </c>
      <c r="O187" t="str">
        <f>TEXT(Table1[[#This Row],[Date]],"MMM-YY")</f>
        <v>Mar-25</v>
      </c>
      <c r="P187" s="10" t="str">
        <f>IF(Table1[[#This Row],[profit]]&gt;5000000,"High",IF(Table1[[#This Row],[profit]]&gt;3000000,"Medium","Low"))</f>
        <v>Low</v>
      </c>
      <c r="Q187" t="str">
        <f>IF(OR(Table1[[#This Row],[Status]]="Completed",Table1[[#This Row],[Status]]="Pending"),"Paid","no paid")</f>
        <v>Paid</v>
      </c>
    </row>
    <row r="188" spans="1:17" x14ac:dyDescent="0.25">
      <c r="A188" t="s">
        <v>239</v>
      </c>
      <c r="B188" s="1">
        <v>45729</v>
      </c>
      <c r="C188" t="s">
        <v>55</v>
      </c>
      <c r="D188" t="s">
        <v>19</v>
      </c>
      <c r="E188">
        <v>1000</v>
      </c>
      <c r="F188">
        <v>3</v>
      </c>
      <c r="G188">
        <f>Table1[[#This Row],[Price]]*Table1[[#This Row],[Quantity]]</f>
        <v>3000</v>
      </c>
      <c r="H188" t="s">
        <v>24</v>
      </c>
      <c r="I188" t="s">
        <v>15</v>
      </c>
      <c r="J188" t="s">
        <v>38</v>
      </c>
      <c r="K188" t="s">
        <v>22</v>
      </c>
      <c r="L188">
        <f>Table1[[#This Row],[Total Sales]]*Table1[[#This Row],[Quantity]]</f>
        <v>9000</v>
      </c>
      <c r="N188" t="str">
        <f>IF(AND(Table1[[#This Row],[Price]]&gt;50,Table1[[#This Row],[Category]]="Footwear"),"High","Low")</f>
        <v>Low</v>
      </c>
      <c r="O188" t="str">
        <f>TEXT(Table1[[#This Row],[Date]],"MMM-YY")</f>
        <v>Mar-25</v>
      </c>
      <c r="P188" s="10" t="str">
        <f>IF(Table1[[#This Row],[profit]]&gt;5000000,"High",IF(Table1[[#This Row],[profit]]&gt;3000000,"Medium","Low"))</f>
        <v>Low</v>
      </c>
      <c r="Q188" t="str">
        <f>IF(OR(Table1[[#This Row],[Status]]="Completed",Table1[[#This Row],[Status]]="Pending"),"Paid","no paid")</f>
        <v>Paid</v>
      </c>
    </row>
    <row r="189" spans="1:17" x14ac:dyDescent="0.25">
      <c r="A189" t="s">
        <v>240</v>
      </c>
      <c r="B189" s="1">
        <v>45702</v>
      </c>
      <c r="C189" t="s">
        <v>48</v>
      </c>
      <c r="D189" t="s">
        <v>49</v>
      </c>
      <c r="E189">
        <v>500</v>
      </c>
      <c r="F189">
        <v>33</v>
      </c>
      <c r="G189">
        <f>Table1[[#This Row],[Price]]*Table1[[#This Row],[Quantity]]</f>
        <v>16500</v>
      </c>
      <c r="H189" t="s">
        <v>24</v>
      </c>
      <c r="I189" t="s">
        <v>45</v>
      </c>
      <c r="J189" t="s">
        <v>26</v>
      </c>
      <c r="K189" t="s">
        <v>39</v>
      </c>
      <c r="L189">
        <f>Table1[[#This Row],[Total Sales]]*Table1[[#This Row],[Quantity]]</f>
        <v>544500</v>
      </c>
      <c r="N189" t="str">
        <f>IF(AND(Table1[[#This Row],[Price]]&gt;50,Table1[[#This Row],[Category]]="Footwear"),"High","Low")</f>
        <v>Low</v>
      </c>
      <c r="O189" t="str">
        <f>TEXT(Table1[[#This Row],[Date]],"MMM-YY")</f>
        <v>Feb-25</v>
      </c>
      <c r="P189" s="10" t="str">
        <f>IF(Table1[[#This Row],[profit]]&gt;5000000,"High",IF(Table1[[#This Row],[profit]]&gt;3000000,"Medium","Low"))</f>
        <v>Low</v>
      </c>
      <c r="Q189" t="str">
        <f>IF(OR(Table1[[#This Row],[Status]]="Completed",Table1[[#This Row],[Status]]="Pending"),"Paid","no paid")</f>
        <v>Paid</v>
      </c>
    </row>
    <row r="190" spans="1:17" x14ac:dyDescent="0.25">
      <c r="A190" t="s">
        <v>241</v>
      </c>
      <c r="B190" s="1">
        <v>45698</v>
      </c>
      <c r="C190" t="s">
        <v>55</v>
      </c>
      <c r="D190" t="s">
        <v>19</v>
      </c>
      <c r="E190">
        <v>2000</v>
      </c>
      <c r="F190">
        <v>54</v>
      </c>
      <c r="G190">
        <f>Table1[[#This Row],[Price]]*Table1[[#This Row],[Quantity]]</f>
        <v>108000</v>
      </c>
      <c r="H190" t="s">
        <v>79</v>
      </c>
      <c r="I190" t="s">
        <v>37</v>
      </c>
      <c r="J190" t="s">
        <v>26</v>
      </c>
      <c r="K190" t="s">
        <v>39</v>
      </c>
      <c r="L190">
        <f>Table1[[#This Row],[Total Sales]]*Table1[[#This Row],[Quantity]]</f>
        <v>5832000</v>
      </c>
      <c r="N190" t="str">
        <f>IF(AND(Table1[[#This Row],[Price]]&gt;50,Table1[[#This Row],[Category]]="Footwear"),"High","Low")</f>
        <v>Low</v>
      </c>
      <c r="O190" t="str">
        <f>TEXT(Table1[[#This Row],[Date]],"MMM-YY")</f>
        <v>Feb-25</v>
      </c>
      <c r="P190" s="10" t="str">
        <f>IF(Table1[[#This Row],[profit]]&gt;5000000,"High",IF(Table1[[#This Row],[profit]]&gt;3000000,"Medium","Low"))</f>
        <v>High</v>
      </c>
      <c r="Q190" t="str">
        <f>IF(OR(Table1[[#This Row],[Status]]="Completed",Table1[[#This Row],[Status]]="Pending"),"Paid","no paid")</f>
        <v>Paid</v>
      </c>
    </row>
    <row r="191" spans="1:17" x14ac:dyDescent="0.25">
      <c r="A191" t="s">
        <v>242</v>
      </c>
      <c r="B191" s="1">
        <v>45711</v>
      </c>
      <c r="C191" t="s">
        <v>12</v>
      </c>
      <c r="D191" t="s">
        <v>13</v>
      </c>
      <c r="E191">
        <v>3000</v>
      </c>
      <c r="F191">
        <v>56</v>
      </c>
      <c r="G191">
        <f>Table1[[#This Row],[Price]]*Table1[[#This Row],[Quantity]]</f>
        <v>168000</v>
      </c>
      <c r="H191" t="s">
        <v>42</v>
      </c>
      <c r="I191" t="s">
        <v>37</v>
      </c>
      <c r="J191" t="s">
        <v>38</v>
      </c>
      <c r="K191" t="s">
        <v>39</v>
      </c>
      <c r="L191">
        <f>Table1[[#This Row],[Total Sales]]*Table1[[#This Row],[Quantity]]</f>
        <v>9408000</v>
      </c>
      <c r="N191" t="str">
        <f>IF(AND(Table1[[#This Row],[Price]]&gt;50,Table1[[#This Row],[Category]]="Footwear"),"High","Low")</f>
        <v>High</v>
      </c>
      <c r="O191" t="str">
        <f>TEXT(Table1[[#This Row],[Date]],"MMM-YY")</f>
        <v>Feb-25</v>
      </c>
      <c r="P191" s="10" t="str">
        <f>IF(Table1[[#This Row],[profit]]&gt;5000000,"High",IF(Table1[[#This Row],[profit]]&gt;3000000,"Medium","Low"))</f>
        <v>High</v>
      </c>
      <c r="Q191" t="str">
        <f>IF(OR(Table1[[#This Row],[Status]]="Completed",Table1[[#This Row],[Status]]="Pending"),"Paid","no paid")</f>
        <v>Paid</v>
      </c>
    </row>
    <row r="192" spans="1:17" x14ac:dyDescent="0.25">
      <c r="A192" t="s">
        <v>243</v>
      </c>
      <c r="B192" s="1">
        <v>45716</v>
      </c>
      <c r="C192" t="s">
        <v>52</v>
      </c>
      <c r="D192" t="s">
        <v>35</v>
      </c>
      <c r="E192">
        <v>5000</v>
      </c>
      <c r="F192">
        <v>72</v>
      </c>
      <c r="G192">
        <f>Table1[[#This Row],[Price]]*Table1[[#This Row],[Quantity]]</f>
        <v>360000</v>
      </c>
      <c r="H192" t="s">
        <v>24</v>
      </c>
      <c r="I192" t="s">
        <v>62</v>
      </c>
      <c r="J192" t="s">
        <v>26</v>
      </c>
      <c r="K192" t="s">
        <v>22</v>
      </c>
      <c r="L192">
        <f>Table1[[#This Row],[Total Sales]]*Table1[[#This Row],[Quantity]]</f>
        <v>25920000</v>
      </c>
      <c r="N192" t="str">
        <f>IF(AND(Table1[[#This Row],[Price]]&gt;50,Table1[[#This Row],[Category]]="Footwear"),"High","Low")</f>
        <v>Low</v>
      </c>
      <c r="O192" t="str">
        <f>TEXT(Table1[[#This Row],[Date]],"MMM-YY")</f>
        <v>Feb-25</v>
      </c>
      <c r="P192" s="10" t="str">
        <f>IF(Table1[[#This Row],[profit]]&gt;5000000,"High",IF(Table1[[#This Row],[profit]]&gt;3000000,"Medium","Low"))</f>
        <v>High</v>
      </c>
      <c r="Q192" t="str">
        <f>IF(OR(Table1[[#This Row],[Status]]="Completed",Table1[[#This Row],[Status]]="Pending"),"Paid","no paid")</f>
        <v>Paid</v>
      </c>
    </row>
    <row r="193" spans="1:17" x14ac:dyDescent="0.25">
      <c r="A193" t="s">
        <v>244</v>
      </c>
      <c r="B193" s="1">
        <v>45747</v>
      </c>
      <c r="C193" t="s">
        <v>18</v>
      </c>
      <c r="D193" t="s">
        <v>19</v>
      </c>
      <c r="E193">
        <v>2000</v>
      </c>
      <c r="F193">
        <v>12</v>
      </c>
      <c r="G193">
        <f>Table1[[#This Row],[Price]]*Table1[[#This Row],[Quantity]]</f>
        <v>24000</v>
      </c>
      <c r="H193" t="s">
        <v>42</v>
      </c>
      <c r="I193" t="s">
        <v>29</v>
      </c>
      <c r="J193" t="s">
        <v>57</v>
      </c>
      <c r="K193" t="s">
        <v>22</v>
      </c>
      <c r="L193">
        <f>Table1[[#This Row],[Total Sales]]*Table1[[#This Row],[Quantity]]</f>
        <v>288000</v>
      </c>
      <c r="N193" t="str">
        <f>IF(AND(Table1[[#This Row],[Price]]&gt;50,Table1[[#This Row],[Category]]="Footwear"),"High","Low")</f>
        <v>Low</v>
      </c>
      <c r="O193" t="str">
        <f>TEXT(Table1[[#This Row],[Date]],"MMM-YY")</f>
        <v>Mar-25</v>
      </c>
      <c r="P193" s="10" t="str">
        <f>IF(Table1[[#This Row],[profit]]&gt;5000000,"High",IF(Table1[[#This Row],[profit]]&gt;3000000,"Medium","Low"))</f>
        <v>Low</v>
      </c>
      <c r="Q193" t="str">
        <f>IF(OR(Table1[[#This Row],[Status]]="Completed",Table1[[#This Row],[Status]]="Pending"),"Paid","no paid")</f>
        <v>Paid</v>
      </c>
    </row>
    <row r="194" spans="1:17" x14ac:dyDescent="0.25">
      <c r="A194" t="s">
        <v>245</v>
      </c>
      <c r="B194" s="1">
        <v>45746</v>
      </c>
      <c r="C194" t="s">
        <v>48</v>
      </c>
      <c r="D194" t="s">
        <v>49</v>
      </c>
      <c r="E194">
        <v>2000</v>
      </c>
      <c r="F194">
        <v>45</v>
      </c>
      <c r="G194">
        <f>Table1[[#This Row],[Price]]*Table1[[#This Row],[Quantity]]</f>
        <v>90000</v>
      </c>
      <c r="H194" t="s">
        <v>50</v>
      </c>
      <c r="I194" t="s">
        <v>80</v>
      </c>
      <c r="J194" t="s">
        <v>26</v>
      </c>
      <c r="K194" t="s">
        <v>22</v>
      </c>
      <c r="L194">
        <f>Table1[[#This Row],[Total Sales]]*Table1[[#This Row],[Quantity]]</f>
        <v>4050000</v>
      </c>
      <c r="N194" t="str">
        <f>IF(AND(Table1[[#This Row],[Price]]&gt;50,Table1[[#This Row],[Category]]="Footwear"),"High","Low")</f>
        <v>Low</v>
      </c>
      <c r="O194" t="str">
        <f>TEXT(Table1[[#This Row],[Date]],"MMM-YY")</f>
        <v>Mar-25</v>
      </c>
      <c r="P194" s="10" t="str">
        <f>IF(Table1[[#This Row],[profit]]&gt;5000000,"High",IF(Table1[[#This Row],[profit]]&gt;3000000,"Medium","Low"))</f>
        <v>Medium</v>
      </c>
      <c r="Q194" t="str">
        <f>IF(OR(Table1[[#This Row],[Status]]="Completed",Table1[[#This Row],[Status]]="Pending"),"Paid","no paid")</f>
        <v>Paid</v>
      </c>
    </row>
    <row r="195" spans="1:17" x14ac:dyDescent="0.25">
      <c r="A195" t="s">
        <v>246</v>
      </c>
      <c r="B195" s="1">
        <v>45708</v>
      </c>
      <c r="C195" t="s">
        <v>52</v>
      </c>
      <c r="D195" t="s">
        <v>35</v>
      </c>
      <c r="E195">
        <v>1000</v>
      </c>
      <c r="F195">
        <v>67</v>
      </c>
      <c r="G195">
        <f>Table1[[#This Row],[Price]]*Table1[[#This Row],[Quantity]]</f>
        <v>67000</v>
      </c>
      <c r="H195" t="s">
        <v>24</v>
      </c>
      <c r="I195" t="s">
        <v>21</v>
      </c>
      <c r="J195" t="s">
        <v>16</v>
      </c>
      <c r="K195" t="s">
        <v>39</v>
      </c>
      <c r="L195">
        <f>Table1[[#This Row],[Total Sales]]*Table1[[#This Row],[Quantity]]</f>
        <v>4489000</v>
      </c>
      <c r="N195" t="str">
        <f>IF(AND(Table1[[#This Row],[Price]]&gt;50,Table1[[#This Row],[Category]]="Footwear"),"High","Low")</f>
        <v>Low</v>
      </c>
      <c r="O195" t="str">
        <f>TEXT(Table1[[#This Row],[Date]],"MMM-YY")</f>
        <v>Feb-25</v>
      </c>
      <c r="P195" s="10" t="str">
        <f>IF(Table1[[#This Row],[profit]]&gt;5000000,"High",IF(Table1[[#This Row],[profit]]&gt;3000000,"Medium","Low"))</f>
        <v>Medium</v>
      </c>
      <c r="Q195" t="str">
        <f>IF(OR(Table1[[#This Row],[Status]]="Completed",Table1[[#This Row],[Status]]="Pending"),"Paid","no paid")</f>
        <v>Paid</v>
      </c>
    </row>
    <row r="196" spans="1:17" x14ac:dyDescent="0.25">
      <c r="A196" t="s">
        <v>247</v>
      </c>
      <c r="B196" s="1">
        <v>45726</v>
      </c>
      <c r="C196" t="s">
        <v>41</v>
      </c>
      <c r="D196" t="s">
        <v>19</v>
      </c>
      <c r="E196">
        <v>500</v>
      </c>
      <c r="F196">
        <v>23</v>
      </c>
      <c r="G196">
        <f>Table1[[#This Row],[Price]]*Table1[[#This Row],[Quantity]]</f>
        <v>11500</v>
      </c>
      <c r="H196" t="s">
        <v>28</v>
      </c>
      <c r="I196" t="s">
        <v>25</v>
      </c>
      <c r="J196" t="s">
        <v>57</v>
      </c>
      <c r="K196" t="s">
        <v>22</v>
      </c>
      <c r="L196">
        <f>Table1[[#This Row],[Total Sales]]*Table1[[#This Row],[Quantity]]</f>
        <v>264500</v>
      </c>
      <c r="N196" t="str">
        <f>IF(AND(Table1[[#This Row],[Price]]&gt;50,Table1[[#This Row],[Category]]="Footwear"),"High","Low")</f>
        <v>Low</v>
      </c>
      <c r="O196" t="str">
        <f>TEXT(Table1[[#This Row],[Date]],"MMM-YY")</f>
        <v>Mar-25</v>
      </c>
      <c r="P196" s="10" t="str">
        <f>IF(Table1[[#This Row],[profit]]&gt;5000000,"High",IF(Table1[[#This Row],[profit]]&gt;3000000,"Medium","Low"))</f>
        <v>Low</v>
      </c>
      <c r="Q196" t="str">
        <f>IF(OR(Table1[[#This Row],[Status]]="Completed",Table1[[#This Row],[Status]]="Pending"),"Paid","no paid")</f>
        <v>Paid</v>
      </c>
    </row>
    <row r="197" spans="1:17" x14ac:dyDescent="0.25">
      <c r="A197" t="s">
        <v>248</v>
      </c>
      <c r="B197" s="1">
        <v>45720</v>
      </c>
      <c r="C197" t="s">
        <v>18</v>
      </c>
      <c r="D197" t="s">
        <v>19</v>
      </c>
      <c r="E197">
        <v>2000</v>
      </c>
      <c r="F197">
        <v>89</v>
      </c>
      <c r="G197">
        <f>Table1[[#This Row],[Price]]*Table1[[#This Row],[Quantity]]</f>
        <v>178000</v>
      </c>
      <c r="H197" t="s">
        <v>56</v>
      </c>
      <c r="I197" t="s">
        <v>62</v>
      </c>
      <c r="J197" t="s">
        <v>16</v>
      </c>
      <c r="K197" t="s">
        <v>39</v>
      </c>
      <c r="L197">
        <f>Table1[[#This Row],[Total Sales]]*Table1[[#This Row],[Quantity]]</f>
        <v>15842000</v>
      </c>
      <c r="N197" t="str">
        <f>IF(AND(Table1[[#This Row],[Price]]&gt;50,Table1[[#This Row],[Category]]="Footwear"),"High","Low")</f>
        <v>Low</v>
      </c>
      <c r="O197" t="str">
        <f>TEXT(Table1[[#This Row],[Date]],"MMM-YY")</f>
        <v>Mar-25</v>
      </c>
      <c r="P197" s="10" t="str">
        <f>IF(Table1[[#This Row],[profit]]&gt;5000000,"High",IF(Table1[[#This Row],[profit]]&gt;3000000,"Medium","Low"))</f>
        <v>High</v>
      </c>
      <c r="Q197" t="str">
        <f>IF(OR(Table1[[#This Row],[Status]]="Completed",Table1[[#This Row],[Status]]="Pending"),"Paid","no paid")</f>
        <v>Paid</v>
      </c>
    </row>
    <row r="198" spans="1:17" x14ac:dyDescent="0.25">
      <c r="A198" t="s">
        <v>249</v>
      </c>
      <c r="B198" s="1">
        <v>45728</v>
      </c>
      <c r="C198" t="s">
        <v>12</v>
      </c>
      <c r="D198" t="s">
        <v>13</v>
      </c>
      <c r="E198">
        <v>3000</v>
      </c>
      <c r="F198">
        <v>42</v>
      </c>
      <c r="G198">
        <f>Table1[[#This Row],[Price]]*Table1[[#This Row],[Quantity]]</f>
        <v>126000</v>
      </c>
      <c r="H198" t="s">
        <v>53</v>
      </c>
      <c r="I198" t="s">
        <v>25</v>
      </c>
      <c r="J198" t="s">
        <v>57</v>
      </c>
      <c r="K198" t="s">
        <v>22</v>
      </c>
      <c r="L198">
        <f>Table1[[#This Row],[Total Sales]]*Table1[[#This Row],[Quantity]]</f>
        <v>5292000</v>
      </c>
      <c r="N198" t="str">
        <f>IF(AND(Table1[[#This Row],[Price]]&gt;50,Table1[[#This Row],[Category]]="Footwear"),"High","Low")</f>
        <v>High</v>
      </c>
      <c r="O198" t="str">
        <f>TEXT(Table1[[#This Row],[Date]],"MMM-YY")</f>
        <v>Mar-25</v>
      </c>
      <c r="P198" s="10" t="str">
        <f>IF(Table1[[#This Row],[profit]]&gt;5000000,"High",IF(Table1[[#This Row],[profit]]&gt;3000000,"Medium","Low"))</f>
        <v>High</v>
      </c>
      <c r="Q198" t="str">
        <f>IF(OR(Table1[[#This Row],[Status]]="Completed",Table1[[#This Row],[Status]]="Pending"),"Paid","no paid")</f>
        <v>Paid</v>
      </c>
    </row>
    <row r="199" spans="1:17" x14ac:dyDescent="0.25">
      <c r="A199" t="s">
        <v>250</v>
      </c>
      <c r="B199" s="1">
        <v>45708</v>
      </c>
      <c r="C199" t="s">
        <v>55</v>
      </c>
      <c r="D199" t="s">
        <v>19</v>
      </c>
      <c r="E199">
        <v>5000</v>
      </c>
      <c r="F199">
        <v>51</v>
      </c>
      <c r="G199">
        <f>Table1[[#This Row],[Price]]*Table1[[#This Row],[Quantity]]</f>
        <v>255000</v>
      </c>
      <c r="H199" t="s">
        <v>79</v>
      </c>
      <c r="I199" t="s">
        <v>62</v>
      </c>
      <c r="J199" t="s">
        <v>26</v>
      </c>
      <c r="K199" t="s">
        <v>22</v>
      </c>
      <c r="L199">
        <f>Table1[[#This Row],[Total Sales]]*Table1[[#This Row],[Quantity]]</f>
        <v>13005000</v>
      </c>
      <c r="N199" t="str">
        <f>IF(AND(Table1[[#This Row],[Price]]&gt;50,Table1[[#This Row],[Category]]="Footwear"),"High","Low")</f>
        <v>Low</v>
      </c>
      <c r="O199" t="str">
        <f>TEXT(Table1[[#This Row],[Date]],"MMM-YY")</f>
        <v>Feb-25</v>
      </c>
      <c r="P199" s="10" t="str">
        <f>IF(Table1[[#This Row],[profit]]&gt;5000000,"High",IF(Table1[[#This Row],[profit]]&gt;3000000,"Medium","Low"))</f>
        <v>High</v>
      </c>
      <c r="Q199" t="str">
        <f>IF(OR(Table1[[#This Row],[Status]]="Completed",Table1[[#This Row],[Status]]="Pending"),"Paid","no paid")</f>
        <v>Paid</v>
      </c>
    </row>
    <row r="200" spans="1:17" x14ac:dyDescent="0.25">
      <c r="A200" t="s">
        <v>251</v>
      </c>
      <c r="B200" s="1">
        <v>45710</v>
      </c>
      <c r="C200" t="s">
        <v>41</v>
      </c>
      <c r="D200" t="s">
        <v>19</v>
      </c>
      <c r="E200">
        <v>2000</v>
      </c>
      <c r="F200">
        <v>56</v>
      </c>
      <c r="G200">
        <f>Table1[[#This Row],[Price]]*Table1[[#This Row],[Quantity]]</f>
        <v>112000</v>
      </c>
      <c r="H200" t="s">
        <v>71</v>
      </c>
      <c r="I200" t="s">
        <v>29</v>
      </c>
      <c r="J200" t="s">
        <v>30</v>
      </c>
      <c r="K200" t="s">
        <v>22</v>
      </c>
      <c r="L200">
        <f>Table1[[#This Row],[Total Sales]]*Table1[[#This Row],[Quantity]]</f>
        <v>6272000</v>
      </c>
      <c r="N200" t="str">
        <f>IF(AND(Table1[[#This Row],[Price]]&gt;50,Table1[[#This Row],[Category]]="Footwear"),"High","Low")</f>
        <v>Low</v>
      </c>
      <c r="O200" t="str">
        <f>TEXT(Table1[[#This Row],[Date]],"MMM-YY")</f>
        <v>Feb-25</v>
      </c>
      <c r="P200" s="10" t="str">
        <f>IF(Table1[[#This Row],[profit]]&gt;5000000,"High",IF(Table1[[#This Row],[profit]]&gt;3000000,"Medium","Low"))</f>
        <v>High</v>
      </c>
      <c r="Q200" t="str">
        <f>IF(OR(Table1[[#This Row],[Status]]="Completed",Table1[[#This Row],[Status]]="Pending"),"Paid","no paid")</f>
        <v>Paid</v>
      </c>
    </row>
    <row r="201" spans="1:17" x14ac:dyDescent="0.25">
      <c r="A201" t="s">
        <v>252</v>
      </c>
      <c r="B201" s="1">
        <v>45698</v>
      </c>
      <c r="C201" t="s">
        <v>48</v>
      </c>
      <c r="D201" t="s">
        <v>49</v>
      </c>
      <c r="E201">
        <v>2000</v>
      </c>
      <c r="F201">
        <v>72</v>
      </c>
      <c r="G201">
        <f>Table1[[#This Row],[Price]]*Table1[[#This Row],[Quantity]]</f>
        <v>144000</v>
      </c>
      <c r="H201" t="s">
        <v>71</v>
      </c>
      <c r="I201" t="s">
        <v>67</v>
      </c>
      <c r="J201" t="s">
        <v>16</v>
      </c>
      <c r="K201" t="s">
        <v>39</v>
      </c>
      <c r="L201">
        <f>Table1[[#This Row],[Total Sales]]*Table1[[#This Row],[Quantity]]</f>
        <v>10368000</v>
      </c>
      <c r="N201" t="str">
        <f>IF(AND(Table1[[#This Row],[Price]]&gt;50,Table1[[#This Row],[Category]]="Footwear"),"High","Low")</f>
        <v>Low</v>
      </c>
      <c r="O201" t="str">
        <f>TEXT(Table1[[#This Row],[Date]],"MMM-YY")</f>
        <v>Feb-25</v>
      </c>
      <c r="P201" s="10" t="str">
        <f>IF(Table1[[#This Row],[profit]]&gt;5000000,"High",IF(Table1[[#This Row],[profit]]&gt;3000000,"Medium","Low"))</f>
        <v>High</v>
      </c>
      <c r="Q201" t="str">
        <f>IF(OR(Table1[[#This Row],[Status]]="Completed",Table1[[#This Row],[Status]]="Pending"),"Paid","no paid")</f>
        <v>Paid</v>
      </c>
    </row>
    <row r="202" spans="1:17" x14ac:dyDescent="0.25">
      <c r="A202" t="s">
        <v>253</v>
      </c>
      <c r="B202" s="1">
        <v>45691</v>
      </c>
      <c r="C202" t="s">
        <v>48</v>
      </c>
      <c r="D202" t="s">
        <v>49</v>
      </c>
      <c r="E202">
        <v>1000</v>
      </c>
      <c r="F202">
        <v>12</v>
      </c>
      <c r="G202">
        <f>Table1[[#This Row],[Price]]*Table1[[#This Row],[Quantity]]</f>
        <v>12000</v>
      </c>
      <c r="H202" t="s">
        <v>53</v>
      </c>
      <c r="I202" t="s">
        <v>21</v>
      </c>
      <c r="J202" t="s">
        <v>30</v>
      </c>
      <c r="K202" t="s">
        <v>39</v>
      </c>
      <c r="L202">
        <f>Table1[[#This Row],[Total Sales]]*Table1[[#This Row],[Quantity]]</f>
        <v>144000</v>
      </c>
      <c r="N202" t="str">
        <f>IF(AND(Table1[[#This Row],[Price]]&gt;50,Table1[[#This Row],[Category]]="Footwear"),"High","Low")</f>
        <v>Low</v>
      </c>
      <c r="O202" t="str">
        <f>TEXT(Table1[[#This Row],[Date]],"MMM-YY")</f>
        <v>Feb-25</v>
      </c>
      <c r="P202" s="10" t="str">
        <f>IF(Table1[[#This Row],[profit]]&gt;5000000,"High",IF(Table1[[#This Row],[profit]]&gt;3000000,"Medium","Low"))</f>
        <v>Low</v>
      </c>
      <c r="Q202" t="str">
        <f>IF(OR(Table1[[#This Row],[Status]]="Completed",Table1[[#This Row],[Status]]="Pending"),"Paid","no paid")</f>
        <v>Paid</v>
      </c>
    </row>
    <row r="203" spans="1:17" x14ac:dyDescent="0.25">
      <c r="A203" t="s">
        <v>254</v>
      </c>
      <c r="B203" s="1">
        <v>45709</v>
      </c>
      <c r="C203" t="s">
        <v>41</v>
      </c>
      <c r="D203" t="s">
        <v>19</v>
      </c>
      <c r="E203">
        <v>500</v>
      </c>
      <c r="F203">
        <v>45</v>
      </c>
      <c r="G203">
        <f>Table1[[#This Row],[Price]]*Table1[[#This Row],[Quantity]]</f>
        <v>22500</v>
      </c>
      <c r="H203" t="s">
        <v>56</v>
      </c>
      <c r="I203" t="s">
        <v>43</v>
      </c>
      <c r="J203" t="s">
        <v>30</v>
      </c>
      <c r="K203" t="s">
        <v>39</v>
      </c>
      <c r="L203">
        <f>Table1[[#This Row],[Total Sales]]*Table1[[#This Row],[Quantity]]</f>
        <v>1012500</v>
      </c>
      <c r="N203" t="str">
        <f>IF(AND(Table1[[#This Row],[Price]]&gt;50,Table1[[#This Row],[Category]]="Footwear"),"High","Low")</f>
        <v>Low</v>
      </c>
      <c r="O203" t="str">
        <f>TEXT(Table1[[#This Row],[Date]],"MMM-YY")</f>
        <v>Feb-25</v>
      </c>
      <c r="P203" s="10" t="str">
        <f>IF(Table1[[#This Row],[profit]]&gt;5000000,"High",IF(Table1[[#This Row],[profit]]&gt;3000000,"Medium","Low"))</f>
        <v>Low</v>
      </c>
      <c r="Q203" t="str">
        <f>IF(OR(Table1[[#This Row],[Status]]="Completed",Table1[[#This Row],[Status]]="Pending"),"Paid","no paid")</f>
        <v>Paid</v>
      </c>
    </row>
    <row r="204" spans="1:17" x14ac:dyDescent="0.25">
      <c r="A204" t="s">
        <v>255</v>
      </c>
      <c r="B204" s="1">
        <v>45709</v>
      </c>
      <c r="C204" t="s">
        <v>64</v>
      </c>
      <c r="D204" t="s">
        <v>60</v>
      </c>
      <c r="E204">
        <v>2000</v>
      </c>
      <c r="F204">
        <v>67</v>
      </c>
      <c r="G204">
        <f>Table1[[#This Row],[Price]]*Table1[[#This Row],[Quantity]]</f>
        <v>134000</v>
      </c>
      <c r="H204" t="s">
        <v>24</v>
      </c>
      <c r="I204" t="s">
        <v>29</v>
      </c>
      <c r="J204" t="s">
        <v>16</v>
      </c>
      <c r="K204" t="s">
        <v>22</v>
      </c>
      <c r="L204">
        <f>Table1[[#This Row],[Total Sales]]*Table1[[#This Row],[Quantity]]</f>
        <v>8978000</v>
      </c>
      <c r="N204" t="str">
        <f>IF(AND(Table1[[#This Row],[Price]]&gt;50,Table1[[#This Row],[Category]]="Footwear"),"High","Low")</f>
        <v>Low</v>
      </c>
      <c r="O204" t="str">
        <f>TEXT(Table1[[#This Row],[Date]],"MMM-YY")</f>
        <v>Feb-25</v>
      </c>
      <c r="P204" s="10" t="str">
        <f>IF(Table1[[#This Row],[profit]]&gt;5000000,"High",IF(Table1[[#This Row],[profit]]&gt;3000000,"Medium","Low"))</f>
        <v>High</v>
      </c>
      <c r="Q204" t="str">
        <f>IF(OR(Table1[[#This Row],[Status]]="Completed",Table1[[#This Row],[Status]]="Pending"),"Paid","no paid")</f>
        <v>Paid</v>
      </c>
    </row>
    <row r="205" spans="1:17" x14ac:dyDescent="0.25">
      <c r="A205" t="s">
        <v>256</v>
      </c>
      <c r="B205" s="1">
        <v>45724</v>
      </c>
      <c r="C205" t="s">
        <v>12</v>
      </c>
      <c r="D205" t="s">
        <v>13</v>
      </c>
      <c r="E205">
        <v>3000</v>
      </c>
      <c r="F205">
        <v>23</v>
      </c>
      <c r="G205">
        <f>Table1[[#This Row],[Price]]*Table1[[#This Row],[Quantity]]</f>
        <v>69000</v>
      </c>
      <c r="H205" t="s">
        <v>79</v>
      </c>
      <c r="I205" t="s">
        <v>43</v>
      </c>
      <c r="J205" t="s">
        <v>57</v>
      </c>
      <c r="K205" t="s">
        <v>22</v>
      </c>
      <c r="L205">
        <f>Table1[[#This Row],[Total Sales]]*Table1[[#This Row],[Quantity]]</f>
        <v>1587000</v>
      </c>
      <c r="N205" t="str">
        <f>IF(AND(Table1[[#This Row],[Price]]&gt;50,Table1[[#This Row],[Category]]="Footwear"),"High","Low")</f>
        <v>High</v>
      </c>
      <c r="O205" t="str">
        <f>TEXT(Table1[[#This Row],[Date]],"MMM-YY")</f>
        <v>Mar-25</v>
      </c>
      <c r="P205" s="10" t="str">
        <f>IF(Table1[[#This Row],[profit]]&gt;5000000,"High",IF(Table1[[#This Row],[profit]]&gt;3000000,"Medium","Low"))</f>
        <v>Low</v>
      </c>
      <c r="Q205" t="str">
        <f>IF(OR(Table1[[#This Row],[Status]]="Completed",Table1[[#This Row],[Status]]="Pending"),"Paid","no paid")</f>
        <v>Paid</v>
      </c>
    </row>
    <row r="206" spans="1:17" x14ac:dyDescent="0.25">
      <c r="A206" t="s">
        <v>257</v>
      </c>
      <c r="B206" s="1">
        <v>45715</v>
      </c>
      <c r="C206" t="s">
        <v>18</v>
      </c>
      <c r="D206" t="s">
        <v>19</v>
      </c>
      <c r="E206">
        <v>5000</v>
      </c>
      <c r="F206">
        <v>89</v>
      </c>
      <c r="G206">
        <f>Table1[[#This Row],[Price]]*Table1[[#This Row],[Quantity]]</f>
        <v>445000</v>
      </c>
      <c r="H206" t="s">
        <v>50</v>
      </c>
      <c r="I206" t="s">
        <v>37</v>
      </c>
      <c r="J206" t="s">
        <v>38</v>
      </c>
      <c r="K206" t="s">
        <v>39</v>
      </c>
      <c r="L206">
        <f>Table1[[#This Row],[Total Sales]]*Table1[[#This Row],[Quantity]]</f>
        <v>39605000</v>
      </c>
      <c r="N206" t="str">
        <f>IF(AND(Table1[[#This Row],[Price]]&gt;50,Table1[[#This Row],[Category]]="Footwear"),"High","Low")</f>
        <v>Low</v>
      </c>
      <c r="O206" t="str">
        <f>TEXT(Table1[[#This Row],[Date]],"MMM-YY")</f>
        <v>Feb-25</v>
      </c>
      <c r="P206" s="10" t="str">
        <f>IF(Table1[[#This Row],[profit]]&gt;5000000,"High",IF(Table1[[#This Row],[profit]]&gt;3000000,"Medium","Low"))</f>
        <v>High</v>
      </c>
      <c r="Q206" t="str">
        <f>IF(OR(Table1[[#This Row],[Status]]="Completed",Table1[[#This Row],[Status]]="Pending"),"Paid","no paid")</f>
        <v>Paid</v>
      </c>
    </row>
    <row r="207" spans="1:17" x14ac:dyDescent="0.25">
      <c r="A207" t="s">
        <v>258</v>
      </c>
      <c r="B207" s="1">
        <v>45700</v>
      </c>
      <c r="C207" t="s">
        <v>59</v>
      </c>
      <c r="D207" t="s">
        <v>60</v>
      </c>
      <c r="E207">
        <v>2000</v>
      </c>
      <c r="F207">
        <v>42</v>
      </c>
      <c r="G207">
        <f>Table1[[#This Row],[Price]]*Table1[[#This Row],[Quantity]]</f>
        <v>84000</v>
      </c>
      <c r="H207" t="s">
        <v>14</v>
      </c>
      <c r="I207" t="s">
        <v>43</v>
      </c>
      <c r="J207" t="s">
        <v>26</v>
      </c>
      <c r="K207" t="s">
        <v>22</v>
      </c>
      <c r="L207">
        <f>Table1[[#This Row],[Total Sales]]*Table1[[#This Row],[Quantity]]</f>
        <v>3528000</v>
      </c>
      <c r="N207" t="str">
        <f>IF(AND(Table1[[#This Row],[Price]]&gt;50,Table1[[#This Row],[Category]]="Footwear"),"High","Low")</f>
        <v>Low</v>
      </c>
      <c r="O207" t="str">
        <f>TEXT(Table1[[#This Row],[Date]],"MMM-YY")</f>
        <v>Feb-25</v>
      </c>
      <c r="P207" s="10" t="str">
        <f>IF(Table1[[#This Row],[profit]]&gt;5000000,"High",IF(Table1[[#This Row],[profit]]&gt;3000000,"Medium","Low"))</f>
        <v>Medium</v>
      </c>
      <c r="Q207" t="str">
        <f>IF(OR(Table1[[#This Row],[Status]]="Completed",Table1[[#This Row],[Status]]="Pending"),"Paid","no paid")</f>
        <v>Paid</v>
      </c>
    </row>
    <row r="208" spans="1:17" x14ac:dyDescent="0.25">
      <c r="A208" t="s">
        <v>259</v>
      </c>
      <c r="B208" s="1">
        <v>45737</v>
      </c>
      <c r="C208" t="s">
        <v>59</v>
      </c>
      <c r="D208" t="s">
        <v>60</v>
      </c>
      <c r="E208">
        <v>2000</v>
      </c>
      <c r="F208">
        <v>51</v>
      </c>
      <c r="G208">
        <f>Table1[[#This Row],[Price]]*Table1[[#This Row],[Quantity]]</f>
        <v>102000</v>
      </c>
      <c r="H208" t="s">
        <v>24</v>
      </c>
      <c r="I208" t="s">
        <v>43</v>
      </c>
      <c r="J208" t="s">
        <v>30</v>
      </c>
      <c r="K208" t="s">
        <v>39</v>
      </c>
      <c r="L208">
        <f>Table1[[#This Row],[Total Sales]]*Table1[[#This Row],[Quantity]]</f>
        <v>5202000</v>
      </c>
      <c r="N208" t="str">
        <f>IF(AND(Table1[[#This Row],[Price]]&gt;50,Table1[[#This Row],[Category]]="Footwear"),"High","Low")</f>
        <v>Low</v>
      </c>
      <c r="O208" t="str">
        <f>TEXT(Table1[[#This Row],[Date]],"MMM-YY")</f>
        <v>Mar-25</v>
      </c>
      <c r="P208" s="10" t="str">
        <f>IF(Table1[[#This Row],[profit]]&gt;5000000,"High",IF(Table1[[#This Row],[profit]]&gt;3000000,"Medium","Low"))</f>
        <v>High</v>
      </c>
      <c r="Q208" t="str">
        <f>IF(OR(Table1[[#This Row],[Status]]="Completed",Table1[[#This Row],[Status]]="Pending"),"Paid","no paid")</f>
        <v>Paid</v>
      </c>
    </row>
    <row r="209" spans="1:17" x14ac:dyDescent="0.25">
      <c r="A209" t="s">
        <v>260</v>
      </c>
      <c r="B209" s="1">
        <v>45690</v>
      </c>
      <c r="C209" t="s">
        <v>64</v>
      </c>
      <c r="D209" t="s">
        <v>60</v>
      </c>
      <c r="E209">
        <v>1000</v>
      </c>
      <c r="F209">
        <v>3</v>
      </c>
      <c r="G209">
        <f>Table1[[#This Row],[Price]]*Table1[[#This Row],[Quantity]]</f>
        <v>3000</v>
      </c>
      <c r="H209" t="s">
        <v>24</v>
      </c>
      <c r="I209" t="s">
        <v>43</v>
      </c>
      <c r="J209" t="s">
        <v>38</v>
      </c>
      <c r="K209" t="s">
        <v>39</v>
      </c>
      <c r="L209">
        <f>Table1[[#This Row],[Total Sales]]*Table1[[#This Row],[Quantity]]</f>
        <v>9000</v>
      </c>
      <c r="N209" t="str">
        <f>IF(AND(Table1[[#This Row],[Price]]&gt;50,Table1[[#This Row],[Category]]="Footwear"),"High","Low")</f>
        <v>Low</v>
      </c>
      <c r="O209" t="str">
        <f>TEXT(Table1[[#This Row],[Date]],"MMM-YY")</f>
        <v>Feb-25</v>
      </c>
      <c r="P209" s="10" t="str">
        <f>IF(Table1[[#This Row],[profit]]&gt;5000000,"High",IF(Table1[[#This Row],[profit]]&gt;3000000,"Medium","Low"))</f>
        <v>Low</v>
      </c>
      <c r="Q209" t="str">
        <f>IF(OR(Table1[[#This Row],[Status]]="Completed",Table1[[#This Row],[Status]]="Pending"),"Paid","no paid")</f>
        <v>Paid</v>
      </c>
    </row>
    <row r="210" spans="1:17" x14ac:dyDescent="0.25">
      <c r="A210" t="s">
        <v>261</v>
      </c>
      <c r="B210" s="1">
        <v>45745</v>
      </c>
      <c r="C210" t="s">
        <v>52</v>
      </c>
      <c r="D210" t="s">
        <v>35</v>
      </c>
      <c r="E210">
        <v>500</v>
      </c>
      <c r="F210">
        <v>5</v>
      </c>
      <c r="G210">
        <f>Table1[[#This Row],[Price]]*Table1[[#This Row],[Quantity]]</f>
        <v>2500</v>
      </c>
      <c r="H210" t="s">
        <v>56</v>
      </c>
      <c r="I210" t="s">
        <v>29</v>
      </c>
      <c r="J210" t="s">
        <v>38</v>
      </c>
      <c r="K210" t="s">
        <v>39</v>
      </c>
      <c r="L210">
        <f>Table1[[#This Row],[Total Sales]]*Table1[[#This Row],[Quantity]]</f>
        <v>12500</v>
      </c>
      <c r="N210" t="str">
        <f>IF(AND(Table1[[#This Row],[Price]]&gt;50,Table1[[#This Row],[Category]]="Footwear"),"High","Low")</f>
        <v>Low</v>
      </c>
      <c r="O210" t="str">
        <f>TEXT(Table1[[#This Row],[Date]],"MMM-YY")</f>
        <v>Mar-25</v>
      </c>
      <c r="P210" s="10" t="str">
        <f>IF(Table1[[#This Row],[profit]]&gt;5000000,"High",IF(Table1[[#This Row],[profit]]&gt;3000000,"Medium","Low"))</f>
        <v>Low</v>
      </c>
      <c r="Q210" t="str">
        <f>IF(OR(Table1[[#This Row],[Status]]="Completed",Table1[[#This Row],[Status]]="Pending"),"Paid","no paid")</f>
        <v>Paid</v>
      </c>
    </row>
    <row r="211" spans="1:17" x14ac:dyDescent="0.25">
      <c r="A211" t="s">
        <v>262</v>
      </c>
      <c r="B211" s="1">
        <v>45739</v>
      </c>
      <c r="C211" t="s">
        <v>55</v>
      </c>
      <c r="D211" t="s">
        <v>19</v>
      </c>
      <c r="E211">
        <v>2000</v>
      </c>
      <c r="F211">
        <v>3</v>
      </c>
      <c r="G211">
        <f>Table1[[#This Row],[Price]]*Table1[[#This Row],[Quantity]]</f>
        <v>6000</v>
      </c>
      <c r="H211" t="s">
        <v>79</v>
      </c>
      <c r="I211" t="s">
        <v>15</v>
      </c>
      <c r="J211" t="s">
        <v>38</v>
      </c>
      <c r="K211" t="s">
        <v>39</v>
      </c>
      <c r="L211">
        <f>Table1[[#This Row],[Total Sales]]*Table1[[#This Row],[Quantity]]</f>
        <v>18000</v>
      </c>
      <c r="N211" t="str">
        <f>IF(AND(Table1[[#This Row],[Price]]&gt;50,Table1[[#This Row],[Category]]="Footwear"),"High","Low")</f>
        <v>Low</v>
      </c>
      <c r="O211" t="str">
        <f>TEXT(Table1[[#This Row],[Date]],"MMM-YY")</f>
        <v>Mar-25</v>
      </c>
      <c r="P211" s="10" t="str">
        <f>IF(Table1[[#This Row],[profit]]&gt;5000000,"High",IF(Table1[[#This Row],[profit]]&gt;3000000,"Medium","Low"))</f>
        <v>Low</v>
      </c>
      <c r="Q211" t="str">
        <f>IF(OR(Table1[[#This Row],[Status]]="Completed",Table1[[#This Row],[Status]]="Pending"),"Paid","no paid")</f>
        <v>Paid</v>
      </c>
    </row>
    <row r="212" spans="1:17" x14ac:dyDescent="0.25">
      <c r="A212" t="s">
        <v>263</v>
      </c>
      <c r="B212" s="1">
        <v>45729</v>
      </c>
      <c r="C212" t="s">
        <v>41</v>
      </c>
      <c r="D212" t="s">
        <v>19</v>
      </c>
      <c r="E212">
        <v>500</v>
      </c>
      <c r="F212">
        <v>1</v>
      </c>
      <c r="G212">
        <f>Table1[[#This Row],[Price]]*Table1[[#This Row],[Quantity]]</f>
        <v>500</v>
      </c>
      <c r="H212" t="s">
        <v>50</v>
      </c>
      <c r="I212" t="s">
        <v>43</v>
      </c>
      <c r="J212" t="s">
        <v>57</v>
      </c>
      <c r="K212" t="s">
        <v>22</v>
      </c>
      <c r="L212">
        <f>Table1[[#This Row],[Total Sales]]*Table1[[#This Row],[Quantity]]</f>
        <v>500</v>
      </c>
      <c r="N212" t="str">
        <f>IF(AND(Table1[[#This Row],[Price]]&gt;50,Table1[[#This Row],[Category]]="Footwear"),"High","Low")</f>
        <v>Low</v>
      </c>
      <c r="O212" t="str">
        <f>TEXT(Table1[[#This Row],[Date]],"MMM-YY")</f>
        <v>Mar-25</v>
      </c>
      <c r="P212" s="10" t="str">
        <f>IF(Table1[[#This Row],[profit]]&gt;5000000,"High",IF(Table1[[#This Row],[profit]]&gt;3000000,"Medium","Low"))</f>
        <v>Low</v>
      </c>
      <c r="Q212" t="str">
        <f>IF(OR(Table1[[#This Row],[Status]]="Completed",Table1[[#This Row],[Status]]="Pending"),"Paid","no paid")</f>
        <v>Paid</v>
      </c>
    </row>
    <row r="213" spans="1:17" x14ac:dyDescent="0.25">
      <c r="A213" t="s">
        <v>264</v>
      </c>
      <c r="B213" s="1">
        <v>45725</v>
      </c>
      <c r="C213" t="s">
        <v>34</v>
      </c>
      <c r="D213" t="s">
        <v>35</v>
      </c>
      <c r="E213">
        <v>700</v>
      </c>
      <c r="F213">
        <v>4</v>
      </c>
      <c r="G213">
        <f>Table1[[#This Row],[Price]]*Table1[[#This Row],[Quantity]]</f>
        <v>2800</v>
      </c>
      <c r="H213" t="s">
        <v>14</v>
      </c>
      <c r="I213" t="s">
        <v>37</v>
      </c>
      <c r="J213" t="s">
        <v>16</v>
      </c>
      <c r="K213" t="s">
        <v>39</v>
      </c>
      <c r="L213">
        <f>Table1[[#This Row],[Total Sales]]*Table1[[#This Row],[Quantity]]</f>
        <v>11200</v>
      </c>
      <c r="N213" t="str">
        <f>IF(AND(Table1[[#This Row],[Price]]&gt;50,Table1[[#This Row],[Category]]="Footwear"),"High","Low")</f>
        <v>Low</v>
      </c>
      <c r="O213" t="str">
        <f>TEXT(Table1[[#This Row],[Date]],"MMM-YY")</f>
        <v>Mar-25</v>
      </c>
      <c r="P213" s="10" t="str">
        <f>IF(Table1[[#This Row],[profit]]&gt;5000000,"High",IF(Table1[[#This Row],[profit]]&gt;3000000,"Medium","Low"))</f>
        <v>Low</v>
      </c>
      <c r="Q213" t="str">
        <f>IF(OR(Table1[[#This Row],[Status]]="Completed",Table1[[#This Row],[Status]]="Pending"),"Paid","no paid")</f>
        <v>Paid</v>
      </c>
    </row>
    <row r="214" spans="1:17" x14ac:dyDescent="0.25">
      <c r="A214" t="s">
        <v>265</v>
      </c>
      <c r="B214" s="1">
        <v>45694</v>
      </c>
      <c r="C214" t="s">
        <v>55</v>
      </c>
      <c r="D214" t="s">
        <v>19</v>
      </c>
      <c r="E214">
        <v>5392</v>
      </c>
      <c r="F214">
        <v>33</v>
      </c>
      <c r="G214">
        <f>Table1[[#This Row],[Price]]*Table1[[#This Row],[Quantity]]</f>
        <v>177936</v>
      </c>
      <c r="H214" t="s">
        <v>79</v>
      </c>
      <c r="I214" t="s">
        <v>67</v>
      </c>
      <c r="J214" t="s">
        <v>26</v>
      </c>
      <c r="K214" t="s">
        <v>22</v>
      </c>
      <c r="L214">
        <f>Table1[[#This Row],[Total Sales]]*Table1[[#This Row],[Quantity]]</f>
        <v>5871888</v>
      </c>
      <c r="N214" t="str">
        <f>IF(AND(Table1[[#This Row],[Price]]&gt;50,Table1[[#This Row],[Category]]="Footwear"),"High","Low")</f>
        <v>Low</v>
      </c>
      <c r="O214" t="str">
        <f>TEXT(Table1[[#This Row],[Date]],"MMM-YY")</f>
        <v>Feb-25</v>
      </c>
      <c r="P214" s="10" t="str">
        <f>IF(Table1[[#This Row],[profit]]&gt;5000000,"High",IF(Table1[[#This Row],[profit]]&gt;3000000,"Medium","Low"))</f>
        <v>High</v>
      </c>
      <c r="Q214" t="str">
        <f>IF(OR(Table1[[#This Row],[Status]]="Completed",Table1[[#This Row],[Status]]="Pending"),"Paid","no paid")</f>
        <v>Paid</v>
      </c>
    </row>
    <row r="215" spans="1:17" x14ac:dyDescent="0.25">
      <c r="A215" t="s">
        <v>266</v>
      </c>
      <c r="B215" s="1">
        <v>45706</v>
      </c>
      <c r="C215" t="s">
        <v>32</v>
      </c>
      <c r="D215" t="s">
        <v>19</v>
      </c>
      <c r="E215">
        <v>3000</v>
      </c>
      <c r="F215">
        <v>54</v>
      </c>
      <c r="G215">
        <f>Table1[[#This Row],[Price]]*Table1[[#This Row],[Quantity]]</f>
        <v>162000</v>
      </c>
      <c r="H215" t="s">
        <v>20</v>
      </c>
      <c r="I215" t="s">
        <v>37</v>
      </c>
      <c r="J215" t="s">
        <v>16</v>
      </c>
      <c r="K215" t="s">
        <v>39</v>
      </c>
      <c r="L215">
        <f>Table1[[#This Row],[Total Sales]]*Table1[[#This Row],[Quantity]]</f>
        <v>8748000</v>
      </c>
      <c r="N215" t="str">
        <f>IF(AND(Table1[[#This Row],[Price]]&gt;50,Table1[[#This Row],[Category]]="Footwear"),"High","Low")</f>
        <v>Low</v>
      </c>
      <c r="O215" t="str">
        <f>TEXT(Table1[[#This Row],[Date]],"MMM-YY")</f>
        <v>Feb-25</v>
      </c>
      <c r="P215" s="10" t="str">
        <f>IF(Table1[[#This Row],[profit]]&gt;5000000,"High",IF(Table1[[#This Row],[profit]]&gt;3000000,"Medium","Low"))</f>
        <v>High</v>
      </c>
      <c r="Q215" t="str">
        <f>IF(OR(Table1[[#This Row],[Status]]="Completed",Table1[[#This Row],[Status]]="Pending"),"Paid","no paid")</f>
        <v>Paid</v>
      </c>
    </row>
    <row r="216" spans="1:17" x14ac:dyDescent="0.25">
      <c r="A216" t="s">
        <v>267</v>
      </c>
      <c r="B216" s="1">
        <v>45723</v>
      </c>
      <c r="C216" t="s">
        <v>12</v>
      </c>
      <c r="D216" t="s">
        <v>13</v>
      </c>
      <c r="E216">
        <v>5000</v>
      </c>
      <c r="F216">
        <v>56</v>
      </c>
      <c r="G216">
        <f>Table1[[#This Row],[Price]]*Table1[[#This Row],[Quantity]]</f>
        <v>280000</v>
      </c>
      <c r="H216" t="s">
        <v>14</v>
      </c>
      <c r="I216" t="s">
        <v>37</v>
      </c>
      <c r="J216" t="s">
        <v>38</v>
      </c>
      <c r="K216" t="s">
        <v>39</v>
      </c>
      <c r="L216">
        <f>Table1[[#This Row],[Total Sales]]*Table1[[#This Row],[Quantity]]</f>
        <v>15680000</v>
      </c>
      <c r="N216" t="str">
        <f>IF(AND(Table1[[#This Row],[Price]]&gt;50,Table1[[#This Row],[Category]]="Footwear"),"High","Low")</f>
        <v>High</v>
      </c>
      <c r="O216" t="str">
        <f>TEXT(Table1[[#This Row],[Date]],"MMM-YY")</f>
        <v>Mar-25</v>
      </c>
      <c r="P216" s="10" t="str">
        <f>IF(Table1[[#This Row],[profit]]&gt;5000000,"High",IF(Table1[[#This Row],[profit]]&gt;3000000,"Medium","Low"))</f>
        <v>High</v>
      </c>
      <c r="Q216" t="str">
        <f>IF(OR(Table1[[#This Row],[Status]]="Completed",Table1[[#This Row],[Status]]="Pending"),"Paid","no paid")</f>
        <v>Paid</v>
      </c>
    </row>
    <row r="217" spans="1:17" x14ac:dyDescent="0.25">
      <c r="A217" t="s">
        <v>268</v>
      </c>
      <c r="B217" s="1">
        <v>45742</v>
      </c>
      <c r="C217" t="s">
        <v>52</v>
      </c>
      <c r="D217" t="s">
        <v>35</v>
      </c>
      <c r="E217">
        <v>2000</v>
      </c>
      <c r="F217">
        <v>72</v>
      </c>
      <c r="G217">
        <f>Table1[[#This Row],[Price]]*Table1[[#This Row],[Quantity]]</f>
        <v>144000</v>
      </c>
      <c r="H217" t="s">
        <v>71</v>
      </c>
      <c r="I217" t="s">
        <v>80</v>
      </c>
      <c r="J217" t="s">
        <v>30</v>
      </c>
      <c r="K217" t="s">
        <v>39</v>
      </c>
      <c r="L217">
        <f>Table1[[#This Row],[Total Sales]]*Table1[[#This Row],[Quantity]]</f>
        <v>10368000</v>
      </c>
      <c r="N217" t="str">
        <f>IF(AND(Table1[[#This Row],[Price]]&gt;50,Table1[[#This Row],[Category]]="Footwear"),"High","Low")</f>
        <v>Low</v>
      </c>
      <c r="O217" t="str">
        <f>TEXT(Table1[[#This Row],[Date]],"MMM-YY")</f>
        <v>Mar-25</v>
      </c>
      <c r="P217" s="10" t="str">
        <f>IF(Table1[[#This Row],[profit]]&gt;5000000,"High",IF(Table1[[#This Row],[profit]]&gt;3000000,"Medium","Low"))</f>
        <v>High</v>
      </c>
      <c r="Q217" t="str">
        <f>IF(OR(Table1[[#This Row],[Status]]="Completed",Table1[[#This Row],[Status]]="Pending"),"Paid","no paid")</f>
        <v>Paid</v>
      </c>
    </row>
    <row r="218" spans="1:17" x14ac:dyDescent="0.25">
      <c r="A218" t="s">
        <v>269</v>
      </c>
      <c r="B218" s="1">
        <v>45735</v>
      </c>
      <c r="C218" t="s">
        <v>12</v>
      </c>
      <c r="D218" t="s">
        <v>13</v>
      </c>
      <c r="E218">
        <v>2000</v>
      </c>
      <c r="F218">
        <v>12</v>
      </c>
      <c r="G218">
        <f>Table1[[#This Row],[Price]]*Table1[[#This Row],[Quantity]]</f>
        <v>24000</v>
      </c>
      <c r="H218" t="s">
        <v>14</v>
      </c>
      <c r="I218" t="s">
        <v>45</v>
      </c>
      <c r="J218" t="s">
        <v>57</v>
      </c>
      <c r="K218" t="s">
        <v>22</v>
      </c>
      <c r="L218">
        <f>Table1[[#This Row],[Total Sales]]*Table1[[#This Row],[Quantity]]</f>
        <v>288000</v>
      </c>
      <c r="N218" t="str">
        <f>IF(AND(Table1[[#This Row],[Price]]&gt;50,Table1[[#This Row],[Category]]="Footwear"),"High","Low")</f>
        <v>High</v>
      </c>
      <c r="O218" t="str">
        <f>TEXT(Table1[[#This Row],[Date]],"MMM-YY")</f>
        <v>Mar-25</v>
      </c>
      <c r="P218" s="10" t="str">
        <f>IF(Table1[[#This Row],[profit]]&gt;5000000,"High",IF(Table1[[#This Row],[profit]]&gt;3000000,"Medium","Low"))</f>
        <v>Low</v>
      </c>
      <c r="Q218" t="str">
        <f>IF(OR(Table1[[#This Row],[Status]]="Completed",Table1[[#This Row],[Status]]="Pending"),"Paid","no paid")</f>
        <v>Paid</v>
      </c>
    </row>
    <row r="219" spans="1:17" x14ac:dyDescent="0.25">
      <c r="A219" t="s">
        <v>270</v>
      </c>
      <c r="B219" s="1">
        <v>45703</v>
      </c>
      <c r="C219" t="s">
        <v>18</v>
      </c>
      <c r="D219" t="s">
        <v>19</v>
      </c>
      <c r="E219">
        <v>1000</v>
      </c>
      <c r="F219">
        <v>45</v>
      </c>
      <c r="G219">
        <f>Table1[[#This Row],[Price]]*Table1[[#This Row],[Quantity]]</f>
        <v>45000</v>
      </c>
      <c r="H219" t="s">
        <v>56</v>
      </c>
      <c r="I219" t="s">
        <v>15</v>
      </c>
      <c r="J219" t="s">
        <v>57</v>
      </c>
      <c r="K219" t="s">
        <v>39</v>
      </c>
      <c r="L219">
        <f>Table1[[#This Row],[Total Sales]]*Table1[[#This Row],[Quantity]]</f>
        <v>2025000</v>
      </c>
      <c r="N219" t="str">
        <f>IF(AND(Table1[[#This Row],[Price]]&gt;50,Table1[[#This Row],[Category]]="Footwear"),"High","Low")</f>
        <v>Low</v>
      </c>
      <c r="O219" t="str">
        <f>TEXT(Table1[[#This Row],[Date]],"MMM-YY")</f>
        <v>Feb-25</v>
      </c>
      <c r="P219" s="10" t="str">
        <f>IF(Table1[[#This Row],[profit]]&gt;5000000,"High",IF(Table1[[#This Row],[profit]]&gt;3000000,"Medium","Low"))</f>
        <v>Low</v>
      </c>
      <c r="Q219" t="str">
        <f>IF(OR(Table1[[#This Row],[Status]]="Completed",Table1[[#This Row],[Status]]="Pending"),"Paid","no paid")</f>
        <v>Paid</v>
      </c>
    </row>
    <row r="220" spans="1:17" x14ac:dyDescent="0.25">
      <c r="A220" t="s">
        <v>271</v>
      </c>
      <c r="B220" s="1">
        <v>45705</v>
      </c>
      <c r="C220" t="s">
        <v>18</v>
      </c>
      <c r="D220" t="s">
        <v>19</v>
      </c>
      <c r="E220">
        <v>500</v>
      </c>
      <c r="F220">
        <v>67</v>
      </c>
      <c r="G220">
        <f>Table1[[#This Row],[Price]]*Table1[[#This Row],[Quantity]]</f>
        <v>33500</v>
      </c>
      <c r="H220" t="s">
        <v>50</v>
      </c>
      <c r="I220" t="s">
        <v>37</v>
      </c>
      <c r="J220" t="s">
        <v>38</v>
      </c>
      <c r="K220" t="s">
        <v>22</v>
      </c>
      <c r="L220">
        <f>Table1[[#This Row],[Total Sales]]*Table1[[#This Row],[Quantity]]</f>
        <v>2244500</v>
      </c>
      <c r="N220" t="str">
        <f>IF(AND(Table1[[#This Row],[Price]]&gt;50,Table1[[#This Row],[Category]]="Footwear"),"High","Low")</f>
        <v>Low</v>
      </c>
      <c r="O220" t="str">
        <f>TEXT(Table1[[#This Row],[Date]],"MMM-YY")</f>
        <v>Feb-25</v>
      </c>
      <c r="P220" s="10" t="str">
        <f>IF(Table1[[#This Row],[profit]]&gt;5000000,"High",IF(Table1[[#This Row],[profit]]&gt;3000000,"Medium","Low"))</f>
        <v>Low</v>
      </c>
      <c r="Q220" t="str">
        <f>IF(OR(Table1[[#This Row],[Status]]="Completed",Table1[[#This Row],[Status]]="Pending"),"Paid","no paid")</f>
        <v>Paid</v>
      </c>
    </row>
    <row r="221" spans="1:17" x14ac:dyDescent="0.25">
      <c r="A221" t="s">
        <v>272</v>
      </c>
      <c r="B221" s="1">
        <v>45698</v>
      </c>
      <c r="C221" t="s">
        <v>32</v>
      </c>
      <c r="D221" t="s">
        <v>19</v>
      </c>
      <c r="E221">
        <v>2000</v>
      </c>
      <c r="F221">
        <v>23</v>
      </c>
      <c r="G221">
        <f>Table1[[#This Row],[Price]]*Table1[[#This Row],[Quantity]]</f>
        <v>46000</v>
      </c>
      <c r="H221" t="s">
        <v>53</v>
      </c>
      <c r="I221" t="s">
        <v>25</v>
      </c>
      <c r="J221" t="s">
        <v>16</v>
      </c>
      <c r="K221" t="s">
        <v>39</v>
      </c>
      <c r="L221">
        <f>Table1[[#This Row],[Total Sales]]*Table1[[#This Row],[Quantity]]</f>
        <v>1058000</v>
      </c>
      <c r="N221" t="str">
        <f>IF(AND(Table1[[#This Row],[Price]]&gt;50,Table1[[#This Row],[Category]]="Footwear"),"High","Low")</f>
        <v>Low</v>
      </c>
      <c r="O221" t="str">
        <f>TEXT(Table1[[#This Row],[Date]],"MMM-YY")</f>
        <v>Feb-25</v>
      </c>
      <c r="P221" s="10" t="str">
        <f>IF(Table1[[#This Row],[profit]]&gt;5000000,"High",IF(Table1[[#This Row],[profit]]&gt;3000000,"Medium","Low"))</f>
        <v>Low</v>
      </c>
      <c r="Q221" t="str">
        <f>IF(OR(Table1[[#This Row],[Status]]="Completed",Table1[[#This Row],[Status]]="Pending"),"Paid","no paid")</f>
        <v>Paid</v>
      </c>
    </row>
    <row r="222" spans="1:17" x14ac:dyDescent="0.25">
      <c r="A222" t="s">
        <v>273</v>
      </c>
      <c r="B222" s="1">
        <v>45716</v>
      </c>
      <c r="C222" t="s">
        <v>59</v>
      </c>
      <c r="D222" t="s">
        <v>60</v>
      </c>
      <c r="E222">
        <v>500</v>
      </c>
      <c r="F222">
        <v>89</v>
      </c>
      <c r="G222">
        <f>Table1[[#This Row],[Price]]*Table1[[#This Row],[Quantity]]</f>
        <v>44500</v>
      </c>
      <c r="H222" t="s">
        <v>20</v>
      </c>
      <c r="I222" t="s">
        <v>80</v>
      </c>
      <c r="J222" t="s">
        <v>57</v>
      </c>
      <c r="K222" t="s">
        <v>22</v>
      </c>
      <c r="L222">
        <f>Table1[[#This Row],[Total Sales]]*Table1[[#This Row],[Quantity]]</f>
        <v>3960500</v>
      </c>
      <c r="N222" t="str">
        <f>IF(AND(Table1[[#This Row],[Price]]&gt;50,Table1[[#This Row],[Category]]="Footwear"),"High","Low")</f>
        <v>Low</v>
      </c>
      <c r="O222" t="str">
        <f>TEXT(Table1[[#This Row],[Date]],"MMM-YY")</f>
        <v>Feb-25</v>
      </c>
      <c r="P222" s="10" t="str">
        <f>IF(Table1[[#This Row],[profit]]&gt;5000000,"High",IF(Table1[[#This Row],[profit]]&gt;3000000,"Medium","Low"))</f>
        <v>Medium</v>
      </c>
      <c r="Q222" t="str">
        <f>IF(OR(Table1[[#This Row],[Status]]="Completed",Table1[[#This Row],[Status]]="Pending"),"Paid","no paid")</f>
        <v>Paid</v>
      </c>
    </row>
    <row r="223" spans="1:17" x14ac:dyDescent="0.25">
      <c r="A223" t="s">
        <v>274</v>
      </c>
      <c r="B223" s="1">
        <v>45704</v>
      </c>
      <c r="C223" t="s">
        <v>59</v>
      </c>
      <c r="D223" t="s">
        <v>60</v>
      </c>
      <c r="E223">
        <v>700</v>
      </c>
      <c r="F223">
        <v>42</v>
      </c>
      <c r="G223">
        <f>Table1[[#This Row],[Price]]*Table1[[#This Row],[Quantity]]</f>
        <v>29400</v>
      </c>
      <c r="H223" t="s">
        <v>71</v>
      </c>
      <c r="I223" t="s">
        <v>62</v>
      </c>
      <c r="J223" t="s">
        <v>38</v>
      </c>
      <c r="K223" t="s">
        <v>22</v>
      </c>
      <c r="L223">
        <f>Table1[[#This Row],[Total Sales]]*Table1[[#This Row],[Quantity]]</f>
        <v>1234800</v>
      </c>
      <c r="N223" t="str">
        <f>IF(AND(Table1[[#This Row],[Price]]&gt;50,Table1[[#This Row],[Category]]="Footwear"),"High","Low")</f>
        <v>Low</v>
      </c>
      <c r="O223" t="str">
        <f>TEXT(Table1[[#This Row],[Date]],"MMM-YY")</f>
        <v>Feb-25</v>
      </c>
      <c r="P223" s="10" t="str">
        <f>IF(Table1[[#This Row],[profit]]&gt;5000000,"High",IF(Table1[[#This Row],[profit]]&gt;3000000,"Medium","Low"))</f>
        <v>Low</v>
      </c>
      <c r="Q223" t="str">
        <f>IF(OR(Table1[[#This Row],[Status]]="Completed",Table1[[#This Row],[Status]]="Pending"),"Paid","no paid")</f>
        <v>Paid</v>
      </c>
    </row>
    <row r="224" spans="1:17" x14ac:dyDescent="0.25">
      <c r="A224" t="s">
        <v>275</v>
      </c>
      <c r="B224" s="1">
        <v>45740</v>
      </c>
      <c r="C224" t="s">
        <v>52</v>
      </c>
      <c r="D224" t="s">
        <v>35</v>
      </c>
      <c r="E224">
        <v>5392</v>
      </c>
      <c r="F224">
        <v>51</v>
      </c>
      <c r="G224">
        <f>Table1[[#This Row],[Price]]*Table1[[#This Row],[Quantity]]</f>
        <v>274992</v>
      </c>
      <c r="H224" t="s">
        <v>50</v>
      </c>
      <c r="I224" t="s">
        <v>25</v>
      </c>
      <c r="J224" t="s">
        <v>26</v>
      </c>
      <c r="K224" t="s">
        <v>22</v>
      </c>
      <c r="L224">
        <f>Table1[[#This Row],[Total Sales]]*Table1[[#This Row],[Quantity]]</f>
        <v>14024592</v>
      </c>
      <c r="N224" t="str">
        <f>IF(AND(Table1[[#This Row],[Price]]&gt;50,Table1[[#This Row],[Category]]="Footwear"),"High","Low")</f>
        <v>Low</v>
      </c>
      <c r="O224" t="str">
        <f>TEXT(Table1[[#This Row],[Date]],"MMM-YY")</f>
        <v>Mar-25</v>
      </c>
      <c r="P224" s="10" t="str">
        <f>IF(Table1[[#This Row],[profit]]&gt;5000000,"High",IF(Table1[[#This Row],[profit]]&gt;3000000,"Medium","Low"))</f>
        <v>High</v>
      </c>
      <c r="Q224" t="str">
        <f>IF(OR(Table1[[#This Row],[Status]]="Completed",Table1[[#This Row],[Status]]="Pending"),"Paid","no paid")</f>
        <v>Paid</v>
      </c>
    </row>
    <row r="225" spans="1:17" x14ac:dyDescent="0.25">
      <c r="A225" t="s">
        <v>276</v>
      </c>
      <c r="B225" s="1">
        <v>45734</v>
      </c>
      <c r="C225" t="s">
        <v>64</v>
      </c>
      <c r="D225" t="s">
        <v>60</v>
      </c>
      <c r="E225">
        <v>3000</v>
      </c>
      <c r="F225">
        <v>1</v>
      </c>
      <c r="G225">
        <f>Table1[[#This Row],[Price]]*Table1[[#This Row],[Quantity]]</f>
        <v>3000</v>
      </c>
      <c r="H225" t="s">
        <v>79</v>
      </c>
      <c r="I225" t="s">
        <v>43</v>
      </c>
      <c r="J225" t="s">
        <v>38</v>
      </c>
      <c r="K225" t="s">
        <v>39</v>
      </c>
      <c r="L225">
        <f>Table1[[#This Row],[Total Sales]]*Table1[[#This Row],[Quantity]]</f>
        <v>3000</v>
      </c>
      <c r="N225" t="str">
        <f>IF(AND(Table1[[#This Row],[Price]]&gt;50,Table1[[#This Row],[Category]]="Footwear"),"High","Low")</f>
        <v>Low</v>
      </c>
      <c r="O225" t="str">
        <f>TEXT(Table1[[#This Row],[Date]],"MMM-YY")</f>
        <v>Mar-25</v>
      </c>
      <c r="P225" s="10" t="str">
        <f>IF(Table1[[#This Row],[profit]]&gt;5000000,"High",IF(Table1[[#This Row],[profit]]&gt;3000000,"Medium","Low"))</f>
        <v>Low</v>
      </c>
      <c r="Q225" t="str">
        <f>IF(OR(Table1[[#This Row],[Status]]="Completed",Table1[[#This Row],[Status]]="Pending"),"Paid","no paid")</f>
        <v>Paid</v>
      </c>
    </row>
    <row r="226" spans="1:17" x14ac:dyDescent="0.25">
      <c r="A226" t="s">
        <v>277</v>
      </c>
      <c r="B226" s="1">
        <v>45727</v>
      </c>
      <c r="C226" t="s">
        <v>52</v>
      </c>
      <c r="D226" t="s">
        <v>35</v>
      </c>
      <c r="E226">
        <v>5000</v>
      </c>
      <c r="F226">
        <v>1</v>
      </c>
      <c r="G226">
        <f>Table1[[#This Row],[Price]]*Table1[[#This Row],[Quantity]]</f>
        <v>5000</v>
      </c>
      <c r="H226" t="s">
        <v>42</v>
      </c>
      <c r="I226" t="s">
        <v>15</v>
      </c>
      <c r="J226" t="s">
        <v>57</v>
      </c>
      <c r="K226" t="s">
        <v>39</v>
      </c>
      <c r="L226">
        <f>Table1[[#This Row],[Total Sales]]*Table1[[#This Row],[Quantity]]</f>
        <v>5000</v>
      </c>
      <c r="N226" t="str">
        <f>IF(AND(Table1[[#This Row],[Price]]&gt;50,Table1[[#This Row],[Category]]="Footwear"),"High","Low")</f>
        <v>Low</v>
      </c>
      <c r="O226" t="str">
        <f>TEXT(Table1[[#This Row],[Date]],"MMM-YY")</f>
        <v>Mar-25</v>
      </c>
      <c r="P226" s="10" t="str">
        <f>IF(Table1[[#This Row],[profit]]&gt;5000000,"High",IF(Table1[[#This Row],[profit]]&gt;3000000,"Medium","Low"))</f>
        <v>Low</v>
      </c>
      <c r="Q226" t="str">
        <f>IF(OR(Table1[[#This Row],[Status]]="Completed",Table1[[#This Row],[Status]]="Pending"),"Paid","no paid")</f>
        <v>Paid</v>
      </c>
    </row>
    <row r="227" spans="1:17" x14ac:dyDescent="0.25">
      <c r="A227" t="s">
        <v>278</v>
      </c>
      <c r="B227" s="1">
        <v>45721</v>
      </c>
      <c r="C227" t="s">
        <v>12</v>
      </c>
      <c r="D227" t="s">
        <v>13</v>
      </c>
      <c r="E227">
        <v>2000</v>
      </c>
      <c r="F227">
        <v>33</v>
      </c>
      <c r="G227">
        <f>Table1[[#This Row],[Price]]*Table1[[#This Row],[Quantity]]</f>
        <v>66000</v>
      </c>
      <c r="H227" t="s">
        <v>71</v>
      </c>
      <c r="I227" t="s">
        <v>80</v>
      </c>
      <c r="J227" t="s">
        <v>26</v>
      </c>
      <c r="K227" t="s">
        <v>39</v>
      </c>
      <c r="L227">
        <f>Table1[[#This Row],[Total Sales]]*Table1[[#This Row],[Quantity]]</f>
        <v>2178000</v>
      </c>
      <c r="N227" t="str">
        <f>IF(AND(Table1[[#This Row],[Price]]&gt;50,Table1[[#This Row],[Category]]="Footwear"),"High","Low")</f>
        <v>High</v>
      </c>
      <c r="O227" t="str">
        <f>TEXT(Table1[[#This Row],[Date]],"MMM-YY")</f>
        <v>Mar-25</v>
      </c>
      <c r="P227" s="10" t="str">
        <f>IF(Table1[[#This Row],[profit]]&gt;5000000,"High",IF(Table1[[#This Row],[profit]]&gt;3000000,"Medium","Low"))</f>
        <v>Low</v>
      </c>
      <c r="Q227" t="str">
        <f>IF(OR(Table1[[#This Row],[Status]]="Completed",Table1[[#This Row],[Status]]="Pending"),"Paid","no paid")</f>
        <v>Paid</v>
      </c>
    </row>
    <row r="228" spans="1:17" x14ac:dyDescent="0.25">
      <c r="A228" t="s">
        <v>279</v>
      </c>
      <c r="B228" s="1">
        <v>45749</v>
      </c>
      <c r="C228" t="s">
        <v>18</v>
      </c>
      <c r="D228" t="s">
        <v>19</v>
      </c>
      <c r="E228">
        <v>2000</v>
      </c>
      <c r="F228">
        <v>54</v>
      </c>
      <c r="G228">
        <f>Table1[[#This Row],[Price]]*Table1[[#This Row],[Quantity]]</f>
        <v>108000</v>
      </c>
      <c r="H228" t="s">
        <v>14</v>
      </c>
      <c r="I228" t="s">
        <v>43</v>
      </c>
      <c r="J228" t="s">
        <v>26</v>
      </c>
      <c r="K228" t="s">
        <v>22</v>
      </c>
      <c r="L228">
        <f>Table1[[#This Row],[Total Sales]]*Table1[[#This Row],[Quantity]]</f>
        <v>5832000</v>
      </c>
      <c r="N228" t="str">
        <f>IF(AND(Table1[[#This Row],[Price]]&gt;50,Table1[[#This Row],[Category]]="Footwear"),"High","Low")</f>
        <v>Low</v>
      </c>
      <c r="O228" t="str">
        <f>TEXT(Table1[[#This Row],[Date]],"MMM-YY")</f>
        <v>Apr-25</v>
      </c>
      <c r="P228" s="10" t="str">
        <f>IF(Table1[[#This Row],[profit]]&gt;5000000,"High",IF(Table1[[#This Row],[profit]]&gt;3000000,"Medium","Low"))</f>
        <v>High</v>
      </c>
      <c r="Q228" t="str">
        <f>IF(OR(Table1[[#This Row],[Status]]="Completed",Table1[[#This Row],[Status]]="Pending"),"Paid","no paid")</f>
        <v>Paid</v>
      </c>
    </row>
    <row r="229" spans="1:17" x14ac:dyDescent="0.25">
      <c r="A229" t="s">
        <v>280</v>
      </c>
      <c r="B229" s="1">
        <v>45700</v>
      </c>
      <c r="C229" t="s">
        <v>12</v>
      </c>
      <c r="D229" t="s">
        <v>13</v>
      </c>
      <c r="E229">
        <v>1000</v>
      </c>
      <c r="F229">
        <v>56</v>
      </c>
      <c r="G229">
        <f>Table1[[#This Row],[Price]]*Table1[[#This Row],[Quantity]]</f>
        <v>56000</v>
      </c>
      <c r="H229" t="s">
        <v>50</v>
      </c>
      <c r="I229" t="s">
        <v>21</v>
      </c>
      <c r="J229" t="s">
        <v>30</v>
      </c>
      <c r="K229" t="s">
        <v>22</v>
      </c>
      <c r="L229">
        <f>Table1[[#This Row],[Total Sales]]*Table1[[#This Row],[Quantity]]</f>
        <v>3136000</v>
      </c>
      <c r="N229" t="str">
        <f>IF(AND(Table1[[#This Row],[Price]]&gt;50,Table1[[#This Row],[Category]]="Footwear"),"High","Low")</f>
        <v>High</v>
      </c>
      <c r="O229" t="str">
        <f>TEXT(Table1[[#This Row],[Date]],"MMM-YY")</f>
        <v>Feb-25</v>
      </c>
      <c r="P229" s="10" t="str">
        <f>IF(Table1[[#This Row],[profit]]&gt;5000000,"High",IF(Table1[[#This Row],[profit]]&gt;3000000,"Medium","Low"))</f>
        <v>Medium</v>
      </c>
      <c r="Q229" t="str">
        <f>IF(OR(Table1[[#This Row],[Status]]="Completed",Table1[[#This Row],[Status]]="Pending"),"Paid","no paid")</f>
        <v>Paid</v>
      </c>
    </row>
    <row r="230" spans="1:17" x14ac:dyDescent="0.25">
      <c r="A230" t="s">
        <v>281</v>
      </c>
      <c r="B230" s="1">
        <v>45737</v>
      </c>
      <c r="C230" t="s">
        <v>12</v>
      </c>
      <c r="D230" t="s">
        <v>13</v>
      </c>
      <c r="E230">
        <v>500</v>
      </c>
      <c r="F230">
        <v>72</v>
      </c>
      <c r="G230">
        <f>Table1[[#This Row],[Price]]*Table1[[#This Row],[Quantity]]</f>
        <v>36000</v>
      </c>
      <c r="H230" t="s">
        <v>14</v>
      </c>
      <c r="I230" t="s">
        <v>21</v>
      </c>
      <c r="J230" t="s">
        <v>30</v>
      </c>
      <c r="K230" t="s">
        <v>39</v>
      </c>
      <c r="L230">
        <f>Table1[[#This Row],[Total Sales]]*Table1[[#This Row],[Quantity]]</f>
        <v>2592000</v>
      </c>
      <c r="N230" t="str">
        <f>IF(AND(Table1[[#This Row],[Price]]&gt;50,Table1[[#This Row],[Category]]="Footwear"),"High","Low")</f>
        <v>High</v>
      </c>
      <c r="O230" t="str">
        <f>TEXT(Table1[[#This Row],[Date]],"MMM-YY")</f>
        <v>Mar-25</v>
      </c>
      <c r="P230" s="10" t="str">
        <f>IF(Table1[[#This Row],[profit]]&gt;5000000,"High",IF(Table1[[#This Row],[profit]]&gt;3000000,"Medium","Low"))</f>
        <v>Low</v>
      </c>
      <c r="Q230" t="str">
        <f>IF(OR(Table1[[#This Row],[Status]]="Completed",Table1[[#This Row],[Status]]="Pending"),"Paid","no paid")</f>
        <v>Paid</v>
      </c>
    </row>
    <row r="231" spans="1:17" x14ac:dyDescent="0.25">
      <c r="A231" t="s">
        <v>282</v>
      </c>
      <c r="B231" s="1">
        <v>45747</v>
      </c>
      <c r="C231" t="s">
        <v>18</v>
      </c>
      <c r="D231" t="s">
        <v>19</v>
      </c>
      <c r="E231">
        <v>2000</v>
      </c>
      <c r="F231">
        <v>12</v>
      </c>
      <c r="G231">
        <f>Table1[[#This Row],[Price]]*Table1[[#This Row],[Quantity]]</f>
        <v>24000</v>
      </c>
      <c r="H231" t="s">
        <v>79</v>
      </c>
      <c r="I231" t="s">
        <v>21</v>
      </c>
      <c r="J231" t="s">
        <v>26</v>
      </c>
      <c r="K231" t="s">
        <v>22</v>
      </c>
      <c r="L231">
        <f>Table1[[#This Row],[Total Sales]]*Table1[[#This Row],[Quantity]]</f>
        <v>288000</v>
      </c>
      <c r="N231" t="str">
        <f>IF(AND(Table1[[#This Row],[Price]]&gt;50,Table1[[#This Row],[Category]]="Footwear"),"High","Low")</f>
        <v>Low</v>
      </c>
      <c r="O231" t="str">
        <f>TEXT(Table1[[#This Row],[Date]],"MMM-YY")</f>
        <v>Mar-25</v>
      </c>
      <c r="P231" s="10" t="str">
        <f>IF(Table1[[#This Row],[profit]]&gt;5000000,"High",IF(Table1[[#This Row],[profit]]&gt;3000000,"Medium","Low"))</f>
        <v>Low</v>
      </c>
      <c r="Q231" t="str">
        <f>IF(OR(Table1[[#This Row],[Status]]="Completed",Table1[[#This Row],[Status]]="Pending"),"Paid","no paid")</f>
        <v>Paid</v>
      </c>
    </row>
    <row r="232" spans="1:17" x14ac:dyDescent="0.25">
      <c r="A232" t="s">
        <v>283</v>
      </c>
      <c r="B232" s="1">
        <v>45704</v>
      </c>
      <c r="C232" t="s">
        <v>55</v>
      </c>
      <c r="D232" t="s">
        <v>19</v>
      </c>
      <c r="E232">
        <v>500</v>
      </c>
      <c r="F232">
        <v>45</v>
      </c>
      <c r="G232">
        <f>Table1[[#This Row],[Price]]*Table1[[#This Row],[Quantity]]</f>
        <v>22500</v>
      </c>
      <c r="H232" t="s">
        <v>79</v>
      </c>
      <c r="I232" t="s">
        <v>45</v>
      </c>
      <c r="J232" t="s">
        <v>30</v>
      </c>
      <c r="K232" t="s">
        <v>39</v>
      </c>
      <c r="L232">
        <f>Table1[[#This Row],[Total Sales]]*Table1[[#This Row],[Quantity]]</f>
        <v>1012500</v>
      </c>
      <c r="N232" t="str">
        <f>IF(AND(Table1[[#This Row],[Price]]&gt;50,Table1[[#This Row],[Category]]="Footwear"),"High","Low")</f>
        <v>Low</v>
      </c>
      <c r="O232" t="str">
        <f>TEXT(Table1[[#This Row],[Date]],"MMM-YY")</f>
        <v>Feb-25</v>
      </c>
      <c r="P232" s="10" t="str">
        <f>IF(Table1[[#This Row],[profit]]&gt;5000000,"High",IF(Table1[[#This Row],[profit]]&gt;3000000,"Medium","Low"))</f>
        <v>Low</v>
      </c>
      <c r="Q232" t="str">
        <f>IF(OR(Table1[[#This Row],[Status]]="Completed",Table1[[#This Row],[Status]]="Pending"),"Paid","no paid")</f>
        <v>Paid</v>
      </c>
    </row>
    <row r="233" spans="1:17" x14ac:dyDescent="0.25">
      <c r="A233" t="s">
        <v>284</v>
      </c>
      <c r="B233" s="1">
        <v>45730</v>
      </c>
      <c r="C233" t="s">
        <v>64</v>
      </c>
      <c r="D233" t="s">
        <v>60</v>
      </c>
      <c r="E233">
        <v>700</v>
      </c>
      <c r="F233">
        <v>67</v>
      </c>
      <c r="G233">
        <f>Table1[[#This Row],[Price]]*Table1[[#This Row],[Quantity]]</f>
        <v>46900</v>
      </c>
      <c r="H233" t="s">
        <v>14</v>
      </c>
      <c r="I233" t="s">
        <v>67</v>
      </c>
      <c r="J233" t="s">
        <v>30</v>
      </c>
      <c r="K233" t="s">
        <v>22</v>
      </c>
      <c r="L233">
        <f>Table1[[#This Row],[Total Sales]]*Table1[[#This Row],[Quantity]]</f>
        <v>3142300</v>
      </c>
      <c r="N233" t="str">
        <f>IF(AND(Table1[[#This Row],[Price]]&gt;50,Table1[[#This Row],[Category]]="Footwear"),"High","Low")</f>
        <v>Low</v>
      </c>
      <c r="O233" t="str">
        <f>TEXT(Table1[[#This Row],[Date]],"MMM-YY")</f>
        <v>Mar-25</v>
      </c>
      <c r="P233" s="10" t="str">
        <f>IF(Table1[[#This Row],[profit]]&gt;5000000,"High",IF(Table1[[#This Row],[profit]]&gt;3000000,"Medium","Low"))</f>
        <v>Medium</v>
      </c>
      <c r="Q233" t="str">
        <f>IF(OR(Table1[[#This Row],[Status]]="Completed",Table1[[#This Row],[Status]]="Pending"),"Paid","no paid")</f>
        <v>Paid</v>
      </c>
    </row>
    <row r="234" spans="1:17" x14ac:dyDescent="0.25">
      <c r="A234" t="s">
        <v>285</v>
      </c>
      <c r="B234" s="1">
        <v>45708</v>
      </c>
      <c r="C234" t="s">
        <v>12</v>
      </c>
      <c r="D234" t="s">
        <v>13</v>
      </c>
      <c r="E234">
        <v>5392</v>
      </c>
      <c r="F234">
        <v>23</v>
      </c>
      <c r="G234">
        <f>Table1[[#This Row],[Price]]*Table1[[#This Row],[Quantity]]</f>
        <v>124016</v>
      </c>
      <c r="H234" t="s">
        <v>50</v>
      </c>
      <c r="I234" t="s">
        <v>45</v>
      </c>
      <c r="J234" t="s">
        <v>38</v>
      </c>
      <c r="K234" t="s">
        <v>39</v>
      </c>
      <c r="L234">
        <f>Table1[[#This Row],[Total Sales]]*Table1[[#This Row],[Quantity]]</f>
        <v>2852368</v>
      </c>
      <c r="N234" t="str">
        <f>IF(AND(Table1[[#This Row],[Price]]&gt;50,Table1[[#This Row],[Category]]="Footwear"),"High","Low")</f>
        <v>High</v>
      </c>
      <c r="O234" t="str">
        <f>TEXT(Table1[[#This Row],[Date]],"MMM-YY")</f>
        <v>Feb-25</v>
      </c>
      <c r="P234" s="10" t="str">
        <f>IF(Table1[[#This Row],[profit]]&gt;5000000,"High",IF(Table1[[#This Row],[profit]]&gt;3000000,"Medium","Low"))</f>
        <v>Low</v>
      </c>
      <c r="Q234" t="str">
        <f>IF(OR(Table1[[#This Row],[Status]]="Completed",Table1[[#This Row],[Status]]="Pending"),"Paid","no paid")</f>
        <v>Paid</v>
      </c>
    </row>
    <row r="235" spans="1:17" x14ac:dyDescent="0.25">
      <c r="A235" t="s">
        <v>286</v>
      </c>
      <c r="B235" s="1">
        <v>45724</v>
      </c>
      <c r="C235" t="s">
        <v>48</v>
      </c>
      <c r="D235" t="s">
        <v>49</v>
      </c>
      <c r="E235">
        <v>3000</v>
      </c>
      <c r="F235">
        <v>89</v>
      </c>
      <c r="G235">
        <f>Table1[[#This Row],[Price]]*Table1[[#This Row],[Quantity]]</f>
        <v>267000</v>
      </c>
      <c r="H235" t="s">
        <v>79</v>
      </c>
      <c r="I235" t="s">
        <v>43</v>
      </c>
      <c r="J235" t="s">
        <v>26</v>
      </c>
      <c r="K235" t="s">
        <v>22</v>
      </c>
      <c r="L235">
        <f>Table1[[#This Row],[Total Sales]]*Table1[[#This Row],[Quantity]]</f>
        <v>23763000</v>
      </c>
      <c r="N235" t="str">
        <f>IF(AND(Table1[[#This Row],[Price]]&gt;50,Table1[[#This Row],[Category]]="Footwear"),"High","Low")</f>
        <v>Low</v>
      </c>
      <c r="O235" t="str">
        <f>TEXT(Table1[[#This Row],[Date]],"MMM-YY")</f>
        <v>Mar-25</v>
      </c>
      <c r="P235" s="10" t="str">
        <f>IF(Table1[[#This Row],[profit]]&gt;5000000,"High",IF(Table1[[#This Row],[profit]]&gt;3000000,"Medium","Low"))</f>
        <v>High</v>
      </c>
      <c r="Q235" t="str">
        <f>IF(OR(Table1[[#This Row],[Status]]="Completed",Table1[[#This Row],[Status]]="Pending"),"Paid","no paid")</f>
        <v>Paid</v>
      </c>
    </row>
    <row r="236" spans="1:17" x14ac:dyDescent="0.25">
      <c r="A236" t="s">
        <v>287</v>
      </c>
      <c r="B236" s="1">
        <v>45739</v>
      </c>
      <c r="C236" t="s">
        <v>64</v>
      </c>
      <c r="D236" t="s">
        <v>60</v>
      </c>
      <c r="E236">
        <v>5000</v>
      </c>
      <c r="F236">
        <v>42</v>
      </c>
      <c r="G236">
        <f>Table1[[#This Row],[Price]]*Table1[[#This Row],[Quantity]]</f>
        <v>210000</v>
      </c>
      <c r="H236" t="s">
        <v>56</v>
      </c>
      <c r="I236" t="s">
        <v>29</v>
      </c>
      <c r="J236" t="s">
        <v>38</v>
      </c>
      <c r="K236" t="s">
        <v>22</v>
      </c>
      <c r="L236">
        <f>Table1[[#This Row],[Total Sales]]*Table1[[#This Row],[Quantity]]</f>
        <v>8820000</v>
      </c>
      <c r="N236" t="str">
        <f>IF(AND(Table1[[#This Row],[Price]]&gt;50,Table1[[#This Row],[Category]]="Footwear"),"High","Low")</f>
        <v>Low</v>
      </c>
      <c r="O236" t="str">
        <f>TEXT(Table1[[#This Row],[Date]],"MMM-YY")</f>
        <v>Mar-25</v>
      </c>
      <c r="P236" s="10" t="str">
        <f>IF(Table1[[#This Row],[profit]]&gt;5000000,"High",IF(Table1[[#This Row],[profit]]&gt;3000000,"Medium","Low"))</f>
        <v>High</v>
      </c>
      <c r="Q236" t="str">
        <f>IF(OR(Table1[[#This Row],[Status]]="Completed",Table1[[#This Row],[Status]]="Pending"),"Paid","no paid")</f>
        <v>Paid</v>
      </c>
    </row>
    <row r="237" spans="1:17" x14ac:dyDescent="0.25">
      <c r="A237" t="s">
        <v>288</v>
      </c>
      <c r="B237" s="1">
        <v>45721</v>
      </c>
      <c r="C237" t="s">
        <v>41</v>
      </c>
      <c r="D237" t="s">
        <v>19</v>
      </c>
      <c r="E237">
        <v>2000</v>
      </c>
      <c r="F237">
        <v>51</v>
      </c>
      <c r="G237">
        <f>Table1[[#This Row],[Price]]*Table1[[#This Row],[Quantity]]</f>
        <v>102000</v>
      </c>
      <c r="H237" t="s">
        <v>24</v>
      </c>
      <c r="I237" t="s">
        <v>45</v>
      </c>
      <c r="J237" t="s">
        <v>38</v>
      </c>
      <c r="K237" t="s">
        <v>22</v>
      </c>
      <c r="L237">
        <f>Table1[[#This Row],[Total Sales]]*Table1[[#This Row],[Quantity]]</f>
        <v>5202000</v>
      </c>
      <c r="N237" t="str">
        <f>IF(AND(Table1[[#This Row],[Price]]&gt;50,Table1[[#This Row],[Category]]="Footwear"),"High","Low")</f>
        <v>Low</v>
      </c>
      <c r="O237" t="str">
        <f>TEXT(Table1[[#This Row],[Date]],"MMM-YY")</f>
        <v>Mar-25</v>
      </c>
      <c r="P237" s="10" t="str">
        <f>IF(Table1[[#This Row],[profit]]&gt;5000000,"High",IF(Table1[[#This Row],[profit]]&gt;3000000,"Medium","Low"))</f>
        <v>High</v>
      </c>
      <c r="Q237" t="str">
        <f>IF(OR(Table1[[#This Row],[Status]]="Completed",Table1[[#This Row],[Status]]="Pending"),"Paid","no paid")</f>
        <v>Paid</v>
      </c>
    </row>
    <row r="238" spans="1:17" x14ac:dyDescent="0.25">
      <c r="A238" t="s">
        <v>289</v>
      </c>
      <c r="B238" s="1">
        <v>45699</v>
      </c>
      <c r="C238" t="s">
        <v>18</v>
      </c>
      <c r="D238" t="s">
        <v>19</v>
      </c>
      <c r="E238">
        <v>2000</v>
      </c>
      <c r="F238">
        <v>3</v>
      </c>
      <c r="G238">
        <f>Table1[[#This Row],[Price]]*Table1[[#This Row],[Quantity]]</f>
        <v>6000</v>
      </c>
      <c r="H238" t="s">
        <v>53</v>
      </c>
      <c r="I238" t="s">
        <v>37</v>
      </c>
      <c r="J238" t="s">
        <v>16</v>
      </c>
      <c r="K238" t="s">
        <v>39</v>
      </c>
      <c r="L238">
        <f>Table1[[#This Row],[Total Sales]]*Table1[[#This Row],[Quantity]]</f>
        <v>18000</v>
      </c>
      <c r="N238" t="str">
        <f>IF(AND(Table1[[#This Row],[Price]]&gt;50,Table1[[#This Row],[Category]]="Footwear"),"High","Low")</f>
        <v>Low</v>
      </c>
      <c r="O238" t="str">
        <f>TEXT(Table1[[#This Row],[Date]],"MMM-YY")</f>
        <v>Feb-25</v>
      </c>
      <c r="P238" s="10" t="str">
        <f>IF(Table1[[#This Row],[profit]]&gt;5000000,"High",IF(Table1[[#This Row],[profit]]&gt;3000000,"Medium","Low"))</f>
        <v>Low</v>
      </c>
      <c r="Q238" t="str">
        <f>IF(OR(Table1[[#This Row],[Status]]="Completed",Table1[[#This Row],[Status]]="Pending"),"Paid","no paid")</f>
        <v>Paid</v>
      </c>
    </row>
    <row r="239" spans="1:17" x14ac:dyDescent="0.25">
      <c r="A239" t="s">
        <v>290</v>
      </c>
      <c r="B239" s="1">
        <v>45732</v>
      </c>
      <c r="C239" t="s">
        <v>18</v>
      </c>
      <c r="D239" t="s">
        <v>19</v>
      </c>
      <c r="E239">
        <v>1000</v>
      </c>
      <c r="F239">
        <v>33</v>
      </c>
      <c r="G239">
        <f>Table1[[#This Row],[Price]]*Table1[[#This Row],[Quantity]]</f>
        <v>33000</v>
      </c>
      <c r="H239" t="s">
        <v>28</v>
      </c>
      <c r="I239" t="s">
        <v>25</v>
      </c>
      <c r="J239" t="s">
        <v>38</v>
      </c>
      <c r="K239" t="s">
        <v>39</v>
      </c>
      <c r="L239">
        <f>Table1[[#This Row],[Total Sales]]*Table1[[#This Row],[Quantity]]</f>
        <v>1089000</v>
      </c>
      <c r="N239" t="str">
        <f>IF(AND(Table1[[#This Row],[Price]]&gt;50,Table1[[#This Row],[Category]]="Footwear"),"High","Low")</f>
        <v>Low</v>
      </c>
      <c r="O239" t="str">
        <f>TEXT(Table1[[#This Row],[Date]],"MMM-YY")</f>
        <v>Mar-25</v>
      </c>
      <c r="P239" s="10" t="str">
        <f>IF(Table1[[#This Row],[profit]]&gt;5000000,"High",IF(Table1[[#This Row],[profit]]&gt;3000000,"Medium","Low"))</f>
        <v>Low</v>
      </c>
      <c r="Q239" t="str">
        <f>IF(OR(Table1[[#This Row],[Status]]="Completed",Table1[[#This Row],[Status]]="Pending"),"Paid","no paid")</f>
        <v>Paid</v>
      </c>
    </row>
    <row r="240" spans="1:17" x14ac:dyDescent="0.25">
      <c r="A240" t="s">
        <v>291</v>
      </c>
      <c r="B240" s="1">
        <v>45738</v>
      </c>
      <c r="C240" t="s">
        <v>32</v>
      </c>
      <c r="D240" t="s">
        <v>19</v>
      </c>
      <c r="E240">
        <v>500</v>
      </c>
      <c r="F240">
        <v>54</v>
      </c>
      <c r="G240">
        <f>Table1[[#This Row],[Price]]*Table1[[#This Row],[Quantity]]</f>
        <v>27000</v>
      </c>
      <c r="H240" t="s">
        <v>56</v>
      </c>
      <c r="I240" t="s">
        <v>37</v>
      </c>
      <c r="J240" t="s">
        <v>26</v>
      </c>
      <c r="K240" t="s">
        <v>39</v>
      </c>
      <c r="L240">
        <f>Table1[[#This Row],[Total Sales]]*Table1[[#This Row],[Quantity]]</f>
        <v>1458000</v>
      </c>
      <c r="N240" t="str">
        <f>IF(AND(Table1[[#This Row],[Price]]&gt;50,Table1[[#This Row],[Category]]="Footwear"),"High","Low")</f>
        <v>Low</v>
      </c>
      <c r="O240" t="str">
        <f>TEXT(Table1[[#This Row],[Date]],"MMM-YY")</f>
        <v>Mar-25</v>
      </c>
      <c r="P240" s="10" t="str">
        <f>IF(Table1[[#This Row],[profit]]&gt;5000000,"High",IF(Table1[[#This Row],[profit]]&gt;3000000,"Medium","Low"))</f>
        <v>Low</v>
      </c>
      <c r="Q240" t="str">
        <f>IF(OR(Table1[[#This Row],[Status]]="Completed",Table1[[#This Row],[Status]]="Pending"),"Paid","no paid")</f>
        <v>Paid</v>
      </c>
    </row>
    <row r="241" spans="1:17" x14ac:dyDescent="0.25">
      <c r="A241" t="s">
        <v>292</v>
      </c>
      <c r="B241" s="1">
        <v>45697</v>
      </c>
      <c r="C241" t="s">
        <v>32</v>
      </c>
      <c r="D241" t="s">
        <v>19</v>
      </c>
      <c r="E241">
        <v>2000</v>
      </c>
      <c r="F241">
        <v>56</v>
      </c>
      <c r="G241">
        <f>Table1[[#This Row],[Price]]*Table1[[#This Row],[Quantity]]</f>
        <v>112000</v>
      </c>
      <c r="H241" t="s">
        <v>24</v>
      </c>
      <c r="I241" t="s">
        <v>25</v>
      </c>
      <c r="J241" t="s">
        <v>57</v>
      </c>
      <c r="K241" t="s">
        <v>22</v>
      </c>
      <c r="L241">
        <f>Table1[[#This Row],[Total Sales]]*Table1[[#This Row],[Quantity]]</f>
        <v>6272000</v>
      </c>
      <c r="N241" t="str">
        <f>IF(AND(Table1[[#This Row],[Price]]&gt;50,Table1[[#This Row],[Category]]="Footwear"),"High","Low")</f>
        <v>Low</v>
      </c>
      <c r="O241" t="str">
        <f>TEXT(Table1[[#This Row],[Date]],"MMM-YY")</f>
        <v>Feb-25</v>
      </c>
      <c r="P241" s="10" t="str">
        <f>IF(Table1[[#This Row],[profit]]&gt;5000000,"High",IF(Table1[[#This Row],[profit]]&gt;3000000,"Medium","Low"))</f>
        <v>High</v>
      </c>
      <c r="Q241" t="str">
        <f>IF(OR(Table1[[#This Row],[Status]]="Completed",Table1[[#This Row],[Status]]="Pending"),"Paid","no paid")</f>
        <v>Paid</v>
      </c>
    </row>
    <row r="242" spans="1:17" x14ac:dyDescent="0.25">
      <c r="A242" t="s">
        <v>293</v>
      </c>
      <c r="B242" s="1">
        <v>45746</v>
      </c>
      <c r="C242" t="s">
        <v>41</v>
      </c>
      <c r="D242" t="s">
        <v>19</v>
      </c>
      <c r="E242">
        <v>500</v>
      </c>
      <c r="F242">
        <v>72</v>
      </c>
      <c r="G242">
        <f>Table1[[#This Row],[Price]]*Table1[[#This Row],[Quantity]]</f>
        <v>36000</v>
      </c>
      <c r="H242" t="s">
        <v>28</v>
      </c>
      <c r="I242" t="s">
        <v>15</v>
      </c>
      <c r="J242" t="s">
        <v>30</v>
      </c>
      <c r="K242" t="s">
        <v>22</v>
      </c>
      <c r="L242">
        <f>Table1[[#This Row],[Total Sales]]*Table1[[#This Row],[Quantity]]</f>
        <v>2592000</v>
      </c>
      <c r="N242" t="str">
        <f>IF(AND(Table1[[#This Row],[Price]]&gt;50,Table1[[#This Row],[Category]]="Footwear"),"High","Low")</f>
        <v>Low</v>
      </c>
      <c r="O242" t="str">
        <f>TEXT(Table1[[#This Row],[Date]],"MMM-YY")</f>
        <v>Mar-25</v>
      </c>
      <c r="P242" s="10" t="str">
        <f>IF(Table1[[#This Row],[profit]]&gt;5000000,"High",IF(Table1[[#This Row],[profit]]&gt;3000000,"Medium","Low"))</f>
        <v>Low</v>
      </c>
      <c r="Q242" t="str">
        <f>IF(OR(Table1[[#This Row],[Status]]="Completed",Table1[[#This Row],[Status]]="Pending"),"Paid","no paid")</f>
        <v>Paid</v>
      </c>
    </row>
    <row r="243" spans="1:17" x14ac:dyDescent="0.25">
      <c r="A243" t="s">
        <v>294</v>
      </c>
      <c r="B243" s="1">
        <v>45724</v>
      </c>
      <c r="C243" t="s">
        <v>41</v>
      </c>
      <c r="D243" t="s">
        <v>19</v>
      </c>
      <c r="E243">
        <v>700</v>
      </c>
      <c r="F243">
        <v>12</v>
      </c>
      <c r="G243">
        <f>Table1[[#This Row],[Price]]*Table1[[#This Row],[Quantity]]</f>
        <v>8400</v>
      </c>
      <c r="H243" t="s">
        <v>71</v>
      </c>
      <c r="I243" t="s">
        <v>45</v>
      </c>
      <c r="J243" t="s">
        <v>57</v>
      </c>
      <c r="K243" t="s">
        <v>39</v>
      </c>
      <c r="L243">
        <f>Table1[[#This Row],[Total Sales]]*Table1[[#This Row],[Quantity]]</f>
        <v>100800</v>
      </c>
      <c r="N243" t="str">
        <f>IF(AND(Table1[[#This Row],[Price]]&gt;50,Table1[[#This Row],[Category]]="Footwear"),"High","Low")</f>
        <v>Low</v>
      </c>
      <c r="O243" t="str">
        <f>TEXT(Table1[[#This Row],[Date]],"MMM-YY")</f>
        <v>Mar-25</v>
      </c>
      <c r="P243" s="10" t="str">
        <f>IF(Table1[[#This Row],[profit]]&gt;5000000,"High",IF(Table1[[#This Row],[profit]]&gt;3000000,"Medium","Low"))</f>
        <v>Low</v>
      </c>
      <c r="Q243" t="str">
        <f>IF(OR(Table1[[#This Row],[Status]]="Completed",Table1[[#This Row],[Status]]="Pending"),"Paid","no paid")</f>
        <v>Paid</v>
      </c>
    </row>
    <row r="244" spans="1:17" x14ac:dyDescent="0.25">
      <c r="A244" t="s">
        <v>295</v>
      </c>
      <c r="B244" s="1">
        <v>45721</v>
      </c>
      <c r="C244" t="s">
        <v>12</v>
      </c>
      <c r="D244" t="s">
        <v>13</v>
      </c>
      <c r="E244">
        <v>5392</v>
      </c>
      <c r="F244">
        <v>45</v>
      </c>
      <c r="G244">
        <f>Table1[[#This Row],[Price]]*Table1[[#This Row],[Quantity]]</f>
        <v>242640</v>
      </c>
      <c r="H244" t="s">
        <v>71</v>
      </c>
      <c r="I244" t="s">
        <v>37</v>
      </c>
      <c r="J244" t="s">
        <v>26</v>
      </c>
      <c r="K244" t="s">
        <v>22</v>
      </c>
      <c r="L244">
        <f>Table1[[#This Row],[Total Sales]]*Table1[[#This Row],[Quantity]]</f>
        <v>10918800</v>
      </c>
      <c r="N244" t="str">
        <f>IF(AND(Table1[[#This Row],[Price]]&gt;50,Table1[[#This Row],[Category]]="Footwear"),"High","Low")</f>
        <v>High</v>
      </c>
      <c r="O244" t="str">
        <f>TEXT(Table1[[#This Row],[Date]],"MMM-YY")</f>
        <v>Mar-25</v>
      </c>
      <c r="P244" s="10" t="str">
        <f>IF(Table1[[#This Row],[profit]]&gt;5000000,"High",IF(Table1[[#This Row],[profit]]&gt;3000000,"Medium","Low"))</f>
        <v>High</v>
      </c>
      <c r="Q244" t="str">
        <f>IF(OR(Table1[[#This Row],[Status]]="Completed",Table1[[#This Row],[Status]]="Pending"),"Paid","no paid")</f>
        <v>Paid</v>
      </c>
    </row>
    <row r="245" spans="1:17" x14ac:dyDescent="0.25">
      <c r="A245" t="s">
        <v>296</v>
      </c>
      <c r="B245" s="1">
        <v>45694</v>
      </c>
      <c r="C245" t="s">
        <v>41</v>
      </c>
      <c r="D245" t="s">
        <v>19</v>
      </c>
      <c r="E245">
        <v>1000</v>
      </c>
      <c r="F245">
        <v>67</v>
      </c>
      <c r="G245">
        <f>Table1[[#This Row],[Price]]*Table1[[#This Row],[Quantity]]</f>
        <v>67000</v>
      </c>
      <c r="H245" t="s">
        <v>14</v>
      </c>
      <c r="I245" t="s">
        <v>37</v>
      </c>
      <c r="J245" t="s">
        <v>30</v>
      </c>
      <c r="K245" t="s">
        <v>39</v>
      </c>
      <c r="L245">
        <f>Table1[[#This Row],[Total Sales]]*Table1[[#This Row],[Quantity]]</f>
        <v>4489000</v>
      </c>
      <c r="N245" t="str">
        <f>IF(AND(Table1[[#This Row],[Price]]&gt;50,Table1[[#This Row],[Category]]="Footwear"),"High","Low")</f>
        <v>Low</v>
      </c>
      <c r="O245" t="str">
        <f>TEXT(Table1[[#This Row],[Date]],"MMM-YY")</f>
        <v>Feb-25</v>
      </c>
      <c r="P245" s="10" t="str">
        <f>IF(Table1[[#This Row],[profit]]&gt;5000000,"High",IF(Table1[[#This Row],[profit]]&gt;3000000,"Medium","Low"))</f>
        <v>Medium</v>
      </c>
      <c r="Q245" t="str">
        <f>IF(OR(Table1[[#This Row],[Status]]="Completed",Table1[[#This Row],[Status]]="Pending"),"Paid","no paid")</f>
        <v>Paid</v>
      </c>
    </row>
    <row r="246" spans="1:17" x14ac:dyDescent="0.25">
      <c r="A246" t="s">
        <v>297</v>
      </c>
      <c r="B246" s="1">
        <v>45692</v>
      </c>
      <c r="C246" t="s">
        <v>55</v>
      </c>
      <c r="D246" t="s">
        <v>19</v>
      </c>
      <c r="E246">
        <v>500</v>
      </c>
      <c r="F246">
        <v>23</v>
      </c>
      <c r="G246">
        <f>Table1[[#This Row],[Price]]*Table1[[#This Row],[Quantity]]</f>
        <v>11500</v>
      </c>
      <c r="H246" t="s">
        <v>53</v>
      </c>
      <c r="I246" t="s">
        <v>67</v>
      </c>
      <c r="J246" t="s">
        <v>30</v>
      </c>
      <c r="K246" t="s">
        <v>39</v>
      </c>
      <c r="L246">
        <f>Table1[[#This Row],[Total Sales]]*Table1[[#This Row],[Quantity]]</f>
        <v>264500</v>
      </c>
      <c r="N246" t="str">
        <f>IF(AND(Table1[[#This Row],[Price]]&gt;50,Table1[[#This Row],[Category]]="Footwear"),"High","Low")</f>
        <v>Low</v>
      </c>
      <c r="O246" t="str">
        <f>TEXT(Table1[[#This Row],[Date]],"MMM-YY")</f>
        <v>Feb-25</v>
      </c>
      <c r="P246" s="10" t="str">
        <f>IF(Table1[[#This Row],[profit]]&gt;5000000,"High",IF(Table1[[#This Row],[profit]]&gt;3000000,"Medium","Low"))</f>
        <v>Low</v>
      </c>
      <c r="Q246" t="str">
        <f>IF(OR(Table1[[#This Row],[Status]]="Completed",Table1[[#This Row],[Status]]="Pending"),"Paid","no paid")</f>
        <v>Paid</v>
      </c>
    </row>
    <row r="247" spans="1:17" x14ac:dyDescent="0.25">
      <c r="A247" t="s">
        <v>298</v>
      </c>
      <c r="B247" s="1">
        <v>45733</v>
      </c>
      <c r="C247" t="s">
        <v>34</v>
      </c>
      <c r="D247" t="s">
        <v>35</v>
      </c>
      <c r="E247">
        <v>2000</v>
      </c>
      <c r="F247">
        <v>89</v>
      </c>
      <c r="G247">
        <f>Table1[[#This Row],[Price]]*Table1[[#This Row],[Quantity]]</f>
        <v>178000</v>
      </c>
      <c r="H247" t="s">
        <v>56</v>
      </c>
      <c r="I247" t="s">
        <v>43</v>
      </c>
      <c r="J247" t="s">
        <v>16</v>
      </c>
      <c r="K247" t="s">
        <v>22</v>
      </c>
      <c r="L247">
        <f>Table1[[#This Row],[Total Sales]]*Table1[[#This Row],[Quantity]]</f>
        <v>15842000</v>
      </c>
      <c r="N247" t="str">
        <f>IF(AND(Table1[[#This Row],[Price]]&gt;50,Table1[[#This Row],[Category]]="Footwear"),"High","Low")</f>
        <v>Low</v>
      </c>
      <c r="O247" t="str">
        <f>TEXT(Table1[[#This Row],[Date]],"MMM-YY")</f>
        <v>Mar-25</v>
      </c>
      <c r="P247" s="10" t="str">
        <f>IF(Table1[[#This Row],[profit]]&gt;5000000,"High",IF(Table1[[#This Row],[profit]]&gt;3000000,"Medium","Low"))</f>
        <v>High</v>
      </c>
      <c r="Q247" t="str">
        <f>IF(OR(Table1[[#This Row],[Status]]="Completed",Table1[[#This Row],[Status]]="Pending"),"Paid","no paid")</f>
        <v>Paid</v>
      </c>
    </row>
    <row r="248" spans="1:17" x14ac:dyDescent="0.25">
      <c r="A248" t="s">
        <v>299</v>
      </c>
      <c r="B248" s="1">
        <v>45746</v>
      </c>
      <c r="C248" t="s">
        <v>52</v>
      </c>
      <c r="D248" t="s">
        <v>35</v>
      </c>
      <c r="E248">
        <v>500</v>
      </c>
      <c r="F248">
        <v>42</v>
      </c>
      <c r="G248">
        <f>Table1[[#This Row],[Price]]*Table1[[#This Row],[Quantity]]</f>
        <v>21000</v>
      </c>
      <c r="H248" t="s">
        <v>42</v>
      </c>
      <c r="I248" t="s">
        <v>29</v>
      </c>
      <c r="J248" t="s">
        <v>16</v>
      </c>
      <c r="K248" t="s">
        <v>22</v>
      </c>
      <c r="L248">
        <f>Table1[[#This Row],[Total Sales]]*Table1[[#This Row],[Quantity]]</f>
        <v>882000</v>
      </c>
      <c r="N248" t="str">
        <f>IF(AND(Table1[[#This Row],[Price]]&gt;50,Table1[[#This Row],[Category]]="Footwear"),"High","Low")</f>
        <v>Low</v>
      </c>
      <c r="O248" t="str">
        <f>TEXT(Table1[[#This Row],[Date]],"MMM-YY")</f>
        <v>Mar-25</v>
      </c>
      <c r="P248" s="10" t="str">
        <f>IF(Table1[[#This Row],[profit]]&gt;5000000,"High",IF(Table1[[#This Row],[profit]]&gt;3000000,"Medium","Low"))</f>
        <v>Low</v>
      </c>
      <c r="Q248" t="str">
        <f>IF(OR(Table1[[#This Row],[Status]]="Completed",Table1[[#This Row],[Status]]="Pending"),"Paid","no paid")</f>
        <v>Paid</v>
      </c>
    </row>
    <row r="249" spans="1:17" x14ac:dyDescent="0.25">
      <c r="A249" t="s">
        <v>300</v>
      </c>
      <c r="B249" s="1">
        <v>45721</v>
      </c>
      <c r="C249" t="s">
        <v>34</v>
      </c>
      <c r="D249" t="s">
        <v>35</v>
      </c>
      <c r="E249">
        <v>700</v>
      </c>
      <c r="F249">
        <v>51</v>
      </c>
      <c r="G249">
        <f>Table1[[#This Row],[Price]]*Table1[[#This Row],[Quantity]]</f>
        <v>35700</v>
      </c>
      <c r="H249" t="s">
        <v>71</v>
      </c>
      <c r="I249" t="s">
        <v>25</v>
      </c>
      <c r="J249" t="s">
        <v>16</v>
      </c>
      <c r="K249" t="s">
        <v>39</v>
      </c>
      <c r="L249">
        <f>Table1[[#This Row],[Total Sales]]*Table1[[#This Row],[Quantity]]</f>
        <v>1820700</v>
      </c>
      <c r="N249" t="str">
        <f>IF(AND(Table1[[#This Row],[Price]]&gt;50,Table1[[#This Row],[Category]]="Footwear"),"High","Low")</f>
        <v>Low</v>
      </c>
      <c r="O249" t="str">
        <f>TEXT(Table1[[#This Row],[Date]],"MMM-YY")</f>
        <v>Mar-25</v>
      </c>
      <c r="P249" s="10" t="str">
        <f>IF(Table1[[#This Row],[profit]]&gt;5000000,"High",IF(Table1[[#This Row],[profit]]&gt;3000000,"Medium","Low"))</f>
        <v>Low</v>
      </c>
      <c r="Q249" t="str">
        <f>IF(OR(Table1[[#This Row],[Status]]="Completed",Table1[[#This Row],[Status]]="Pending"),"Paid","no paid")</f>
        <v>Paid</v>
      </c>
    </row>
    <row r="250" spans="1:17" x14ac:dyDescent="0.25">
      <c r="A250" t="s">
        <v>301</v>
      </c>
      <c r="B250" s="1">
        <v>45724</v>
      </c>
      <c r="C250" t="s">
        <v>32</v>
      </c>
      <c r="D250" t="s">
        <v>19</v>
      </c>
      <c r="E250">
        <v>5392</v>
      </c>
      <c r="F250">
        <v>3</v>
      </c>
      <c r="G250">
        <f>Table1[[#This Row],[Price]]*Table1[[#This Row],[Quantity]]</f>
        <v>16176</v>
      </c>
      <c r="H250" t="s">
        <v>20</v>
      </c>
      <c r="I250" t="s">
        <v>15</v>
      </c>
      <c r="J250" t="s">
        <v>16</v>
      </c>
      <c r="K250" t="s">
        <v>22</v>
      </c>
      <c r="L250">
        <f>Table1[[#This Row],[Total Sales]]*Table1[[#This Row],[Quantity]]</f>
        <v>48528</v>
      </c>
      <c r="N250" t="str">
        <f>IF(AND(Table1[[#This Row],[Price]]&gt;50,Table1[[#This Row],[Category]]="Footwear"),"High","Low")</f>
        <v>Low</v>
      </c>
      <c r="O250" t="str">
        <f>TEXT(Table1[[#This Row],[Date]],"MMM-YY")</f>
        <v>Mar-25</v>
      </c>
      <c r="P250" s="10" t="str">
        <f>IF(Table1[[#This Row],[profit]]&gt;5000000,"High",IF(Table1[[#This Row],[profit]]&gt;3000000,"Medium","Low"))</f>
        <v>Low</v>
      </c>
      <c r="Q250" t="str">
        <f>IF(OR(Table1[[#This Row],[Status]]="Completed",Table1[[#This Row],[Status]]="Pending"),"Paid","no paid")</f>
        <v>Paid</v>
      </c>
    </row>
    <row r="251" spans="1:17" x14ac:dyDescent="0.25">
      <c r="A251" t="s">
        <v>302</v>
      </c>
      <c r="B251" s="1">
        <v>45707</v>
      </c>
      <c r="C251" t="s">
        <v>41</v>
      </c>
      <c r="D251" t="s">
        <v>19</v>
      </c>
      <c r="E251">
        <v>8746</v>
      </c>
      <c r="F251">
        <v>4</v>
      </c>
      <c r="G251">
        <f>Table1[[#This Row],[Price]]*Table1[[#This Row],[Quantity]]</f>
        <v>34984</v>
      </c>
      <c r="H251" t="s">
        <v>20</v>
      </c>
      <c r="I251" t="s">
        <v>62</v>
      </c>
      <c r="J251" t="s">
        <v>26</v>
      </c>
      <c r="K251" t="s">
        <v>39</v>
      </c>
      <c r="L251">
        <f>Table1[[#This Row],[Total Sales]]*Table1[[#This Row],[Quantity]]</f>
        <v>139936</v>
      </c>
      <c r="N251" t="str">
        <f>IF(AND(Table1[[#This Row],[Price]]&gt;50,Table1[[#This Row],[Category]]="Footwear"),"High","Low")</f>
        <v>Low</v>
      </c>
      <c r="O251" t="str">
        <f>TEXT(Table1[[#This Row],[Date]],"MMM-YY")</f>
        <v>Feb-25</v>
      </c>
      <c r="P251" s="10" t="str">
        <f>IF(Table1[[#This Row],[profit]]&gt;5000000,"High",IF(Table1[[#This Row],[profit]]&gt;3000000,"Medium","Low"))</f>
        <v>Low</v>
      </c>
      <c r="Q251" t="str">
        <f>IF(OR(Table1[[#This Row],[Status]]="Completed",Table1[[#This Row],[Status]]="Pending"),"Paid","no paid")</f>
        <v>Paid</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C047-5D11-4F34-B940-C265EFA482ED}">
  <sheetPr>
    <tabColor theme="9" tint="0.79998168889431442"/>
  </sheetPr>
  <dimension ref="A1:E251"/>
  <sheetViews>
    <sheetView workbookViewId="0"/>
  </sheetViews>
  <sheetFormatPr defaultRowHeight="15" x14ac:dyDescent="0.25"/>
  <cols>
    <col min="1" max="1" width="14.28515625" bestFit="1" customWidth="1"/>
    <col min="2" max="2" width="19" bestFit="1" customWidth="1"/>
    <col min="3" max="3" width="16.85546875" bestFit="1" customWidth="1"/>
    <col min="4" max="4" width="19.5703125" bestFit="1" customWidth="1"/>
    <col min="5" max="5" width="13.140625" bestFit="1" customWidth="1"/>
  </cols>
  <sheetData>
    <row r="1" spans="1:5" x14ac:dyDescent="0.25">
      <c r="A1" s="8" t="s">
        <v>309</v>
      </c>
      <c r="B1" s="8" t="s">
        <v>310</v>
      </c>
      <c r="C1" s="9" t="s">
        <v>311</v>
      </c>
      <c r="D1" s="9" t="s">
        <v>313</v>
      </c>
      <c r="E1" s="9" t="s">
        <v>314</v>
      </c>
    </row>
    <row r="2" spans="1:5" x14ac:dyDescent="0.25">
      <c r="A2" t="str">
        <f>IF(Table1[[#This Row],[Customer Name]]="Emma Clark","EMMA CLARK",Table1[[#This Row],[Customer Name]])</f>
        <v>EMMA CLARK</v>
      </c>
      <c r="B2" t="str">
        <f>IF(AND(Table1[[#This Row],[Price]]&gt;50,Table1[[#This Row],[Category]]="Footwear"),"High","Low")</f>
        <v>High</v>
      </c>
      <c r="C2" t="str">
        <f>TEXT(Table1[[#This Row],[Date]],"MMM-YY")</f>
        <v>Mar-25</v>
      </c>
      <c r="D2" s="10" t="str">
        <f>IF(Table1[[#This Row],[profit]]&gt;5000000,"High",IF(Table1[[#This Row],[profit]]&gt;3000000,"Medium","Low"))</f>
        <v>Medium</v>
      </c>
      <c r="E2" t="str">
        <f>IF(Table1[[#This Row],[Status]]="Completed","Paid","Not Paid")</f>
        <v>Paid</v>
      </c>
    </row>
    <row r="3" spans="1:5" x14ac:dyDescent="0.25">
      <c r="A3" t="str">
        <f>IF(Table1[[#This Row],[Customer Name]]="Emma Clark","EMMA CLARK",Table1[[#This Row],[Customer Name]])</f>
        <v>Emily Johnson</v>
      </c>
      <c r="B3" t="str">
        <f>IF(AND(Table1[[#This Row],[Price]]&gt;50,Table1[[#This Row],[Category]]="Footwear"),"High","Low")</f>
        <v>Low</v>
      </c>
      <c r="C3" t="str">
        <f>TEXT(Table1[[#This Row],[Date]],"MMM-YY")</f>
        <v>Mar-25</v>
      </c>
      <c r="D3" s="10" t="str">
        <f>IF(Table1[[#This Row],[profit]]&gt;5000000,"High",IF(Table1[[#This Row],[profit]]&gt;3000000,"Medium","Low"))</f>
        <v>High</v>
      </c>
      <c r="E3" t="str">
        <f>IF(Table1[[#This Row],[Status]]="Completed","Paid","Not Paid")</f>
        <v>Not Paid</v>
      </c>
    </row>
    <row r="4" spans="1:5" x14ac:dyDescent="0.25">
      <c r="A4" t="str">
        <f>IF(Table1[[#This Row],[Customer Name]]="Emma Clark","EMMA CLARK",Table1[[#This Row],[Customer Name]])</f>
        <v>John Doe</v>
      </c>
      <c r="B4" t="str">
        <f>IF(AND(Table1[[#This Row],[Price]]&gt;50,Table1[[#This Row],[Category]]="Footwear"),"High","Low")</f>
        <v>High</v>
      </c>
      <c r="C4" t="str">
        <f>TEXT(Table1[[#This Row],[Date]],"MMM-YY")</f>
        <v>Feb-25</v>
      </c>
      <c r="D4" s="10" t="str">
        <f>IF(Table1[[#This Row],[profit]]&gt;5000000,"High",IF(Table1[[#This Row],[profit]]&gt;3000000,"Medium","Low"))</f>
        <v>High</v>
      </c>
      <c r="E4" t="str">
        <f>IF(Table1[[#This Row],[Status]]="Completed","Paid","Not Paid")</f>
        <v>Paid</v>
      </c>
    </row>
    <row r="5" spans="1:5" x14ac:dyDescent="0.25">
      <c r="A5" t="str">
        <f>IF(Table1[[#This Row],[Customer Name]]="Emma Clark","EMMA CLARK",Table1[[#This Row],[Customer Name]])</f>
        <v>Olivia Wilson</v>
      </c>
      <c r="B5" t="str">
        <f>IF(AND(Table1[[#This Row],[Price]]&gt;50,Table1[[#This Row],[Category]]="Footwear"),"High","Low")</f>
        <v>High</v>
      </c>
      <c r="C5" t="str">
        <f>TEXT(Table1[[#This Row],[Date]],"MMM-YY")</f>
        <v>Feb-25</v>
      </c>
      <c r="D5" s="10" t="str">
        <f>IF(Table1[[#This Row],[profit]]&gt;5000000,"High",IF(Table1[[#This Row],[profit]]&gt;3000000,"Medium","Low"))</f>
        <v>High</v>
      </c>
      <c r="E5" t="str">
        <f>IF(Table1[[#This Row],[Status]]="Completed","Paid","Not Paid")</f>
        <v>Not Paid</v>
      </c>
    </row>
    <row r="6" spans="1:5" x14ac:dyDescent="0.25">
      <c r="A6" t="str">
        <f>IF(Table1[[#This Row],[Customer Name]]="Emma Clark","EMMA CLARK",Table1[[#This Row],[Customer Name]])</f>
        <v>EMMA CLARK</v>
      </c>
      <c r="B6" t="str">
        <f>IF(AND(Table1[[#This Row],[Price]]&gt;50,Table1[[#This Row],[Category]]="Footwear"),"High","Low")</f>
        <v>Low</v>
      </c>
      <c r="C6" t="str">
        <f>TEXT(Table1[[#This Row],[Date]],"MMM-YY")</f>
        <v>Mar-25</v>
      </c>
      <c r="D6" s="10" t="str">
        <f>IF(Table1[[#This Row],[profit]]&gt;5000000,"High",IF(Table1[[#This Row],[profit]]&gt;3000000,"Medium","Low"))</f>
        <v>Low</v>
      </c>
      <c r="E6" t="str">
        <f>IF(Table1[[#This Row],[Status]]="Completed","Paid","Not Paid")</f>
        <v>Not Paid</v>
      </c>
    </row>
    <row r="7" spans="1:5" x14ac:dyDescent="0.25">
      <c r="A7" t="str">
        <f>IF(Table1[[#This Row],[Customer Name]]="Emma Clark","EMMA CLARK",Table1[[#This Row],[Customer Name]])</f>
        <v>John Doe</v>
      </c>
      <c r="B7" t="str">
        <f>IF(AND(Table1[[#This Row],[Price]]&gt;50,Table1[[#This Row],[Category]]="Footwear"),"High","Low")</f>
        <v>Low</v>
      </c>
      <c r="C7" t="str">
        <f ca="1">TEXT(Table1[[#This Row],[Date]],"MMM-YY")</f>
        <v>Jan-00</v>
      </c>
      <c r="D7" s="10" t="str">
        <f>IF(Table1[[#This Row],[profit]]&gt;5000000,"High",IF(Table1[[#This Row],[profit]]&gt;3000000,"Medium","Low"))</f>
        <v>Low</v>
      </c>
      <c r="E7" t="str">
        <f>IF(Table1[[#This Row],[Status]]="Completed","Paid","Not Paid")</f>
        <v>Not Paid</v>
      </c>
    </row>
    <row r="8" spans="1:5" x14ac:dyDescent="0.25">
      <c r="A8" t="str">
        <f>IF(Table1[[#This Row],[Customer Name]]="Emma Clark","EMMA CLARK",Table1[[#This Row],[Customer Name]])</f>
        <v>EMMA CLARK</v>
      </c>
      <c r="B8" t="str">
        <f>IF(AND(Table1[[#This Row],[Price]]&gt;50,Table1[[#This Row],[Category]]="Footwear"),"High","Low")</f>
        <v>Low</v>
      </c>
      <c r="C8" t="str">
        <f>TEXT(Table1[[#This Row],[Date]],"MMM-YY")</f>
        <v>Mar-25</v>
      </c>
      <c r="D8" s="10" t="str">
        <f>IF(Table1[[#This Row],[profit]]&gt;5000000,"High",IF(Table1[[#This Row],[profit]]&gt;3000000,"Medium","Low"))</f>
        <v>High</v>
      </c>
      <c r="E8" t="str">
        <f>IF(Table1[[#This Row],[Status]]="Completed","Paid","Not Paid")</f>
        <v>Paid</v>
      </c>
    </row>
    <row r="9" spans="1:5" x14ac:dyDescent="0.25">
      <c r="A9" t="str">
        <f>IF(Table1[[#This Row],[Customer Name]]="Emma Clark","EMMA CLARK",Table1[[#This Row],[Customer Name]])</f>
        <v>Sophia Miller</v>
      </c>
      <c r="B9" t="str">
        <f>IF(AND(Table1[[#This Row],[Price]]&gt;50,Table1[[#This Row],[Category]]="Footwear"),"High","Low")</f>
        <v>Low</v>
      </c>
      <c r="C9" t="str">
        <f>TEXT(Table1[[#This Row],[Date]],"MMM-YY")</f>
        <v>Mar-25</v>
      </c>
      <c r="D9" s="10" t="str">
        <f>IF(Table1[[#This Row],[profit]]&gt;5000000,"High",IF(Table1[[#This Row],[profit]]&gt;3000000,"Medium","Low"))</f>
        <v>Low</v>
      </c>
      <c r="E9" t="str">
        <f>IF(Table1[[#This Row],[Status]]="Completed","Paid","Not Paid")</f>
        <v>Paid</v>
      </c>
    </row>
    <row r="10" spans="1:5" x14ac:dyDescent="0.25">
      <c r="A10" t="str">
        <f>IF(Table1[[#This Row],[Customer Name]]="Emma Clark","EMMA CLARK",Table1[[#This Row],[Customer Name]])</f>
        <v>Sophia Miller</v>
      </c>
      <c r="B10" t="str">
        <f>IF(AND(Table1[[#This Row],[Price]]&gt;50,Table1[[#This Row],[Category]]="Footwear"),"High","Low")</f>
        <v>Low</v>
      </c>
      <c r="C10" t="str">
        <f>TEXT(Table1[[#This Row],[Date]],"MMM-YY")</f>
        <v>Mar-25</v>
      </c>
      <c r="D10" s="10" t="str">
        <f>IF(Table1[[#This Row],[profit]]&gt;5000000,"High",IF(Table1[[#This Row],[profit]]&gt;3000000,"Medium","Low"))</f>
        <v>High</v>
      </c>
      <c r="E10" t="str">
        <f>IF(Table1[[#This Row],[Status]]="Completed","Paid","Not Paid")</f>
        <v>Paid</v>
      </c>
    </row>
    <row r="11" spans="1:5" x14ac:dyDescent="0.25">
      <c r="A11" t="str">
        <f>IF(Table1[[#This Row],[Customer Name]]="Emma Clark","EMMA CLARK",Table1[[#This Row],[Customer Name]])</f>
        <v>Emily Johnson</v>
      </c>
      <c r="B11" t="str">
        <f>IF(AND(Table1[[#This Row],[Price]]&gt;50,Table1[[#This Row],[Category]]="Footwear"),"High","Low")</f>
        <v>Low</v>
      </c>
      <c r="C11" t="str">
        <f>TEXT(Table1[[#This Row],[Date]],"MMM-YY")</f>
        <v>Mar-25</v>
      </c>
      <c r="D11" s="10" t="str">
        <f>IF(Table1[[#This Row],[profit]]&gt;5000000,"High",IF(Table1[[#This Row],[profit]]&gt;3000000,"Medium","Low"))</f>
        <v>Medium</v>
      </c>
      <c r="E11" t="str">
        <f>IF(Table1[[#This Row],[Status]]="Completed","Paid","Not Paid")</f>
        <v>Not Paid</v>
      </c>
    </row>
    <row r="12" spans="1:5" x14ac:dyDescent="0.25">
      <c r="A12" t="str">
        <f>IF(Table1[[#This Row],[Customer Name]]="Emma Clark","EMMA CLARK",Table1[[#This Row],[Customer Name]])</f>
        <v>David Lee</v>
      </c>
      <c r="B12" t="str">
        <f>IF(AND(Table1[[#This Row],[Price]]&gt;50,Table1[[#This Row],[Category]]="Footwear"),"High","Low")</f>
        <v>Low</v>
      </c>
      <c r="C12" t="str">
        <f>TEXT(Table1[[#This Row],[Date]],"MMM-YY")</f>
        <v>Feb-25</v>
      </c>
      <c r="D12" s="10" t="str">
        <f>IF(Table1[[#This Row],[profit]]&gt;5000000,"High",IF(Table1[[#This Row],[profit]]&gt;3000000,"Medium","Low"))</f>
        <v>High</v>
      </c>
      <c r="E12" t="str">
        <f>IF(Table1[[#This Row],[Status]]="Completed","Paid","Not Paid")</f>
        <v>Not Paid</v>
      </c>
    </row>
    <row r="13" spans="1:5" x14ac:dyDescent="0.25">
      <c r="A13" t="str">
        <f>IF(Table1[[#This Row],[Customer Name]]="Emma Clark","EMMA CLARK",Table1[[#This Row],[Customer Name]])</f>
        <v>Michael Brown</v>
      </c>
      <c r="B13" t="str">
        <f>IF(AND(Table1[[#This Row],[Price]]&gt;50,Table1[[#This Row],[Category]]="Footwear"),"High","Low")</f>
        <v>Low</v>
      </c>
      <c r="C13" t="str">
        <f>TEXT(Table1[[#This Row],[Date]],"MMM-YY")</f>
        <v>Mar-25</v>
      </c>
      <c r="D13" s="10" t="str">
        <f>IF(Table1[[#This Row],[profit]]&gt;5000000,"High",IF(Table1[[#This Row],[profit]]&gt;3000000,"Medium","Low"))</f>
        <v>Low</v>
      </c>
      <c r="E13" t="str">
        <f>IF(Table1[[#This Row],[Status]]="Completed","Paid","Not Paid")</f>
        <v>Paid</v>
      </c>
    </row>
    <row r="14" spans="1:5" x14ac:dyDescent="0.25">
      <c r="A14" t="str">
        <f>IF(Table1[[#This Row],[Customer Name]]="Emma Clark","EMMA CLARK",Table1[[#This Row],[Customer Name]])</f>
        <v>Daniel Harris</v>
      </c>
      <c r="B14" t="str">
        <f>IF(AND(Table1[[#This Row],[Price]]&gt;50,Table1[[#This Row],[Category]]="Footwear"),"High","Low")</f>
        <v>Low</v>
      </c>
      <c r="C14" t="str">
        <f>TEXT(Table1[[#This Row],[Date]],"MMM-YY")</f>
        <v>Mar-25</v>
      </c>
      <c r="D14" s="10" t="str">
        <f>IF(Table1[[#This Row],[profit]]&gt;5000000,"High",IF(Table1[[#This Row],[profit]]&gt;3000000,"Medium","Low"))</f>
        <v>Low</v>
      </c>
      <c r="E14" t="str">
        <f>IF(Table1[[#This Row],[Status]]="Completed","Paid","Not Paid")</f>
        <v>Not Paid</v>
      </c>
    </row>
    <row r="15" spans="1:5" x14ac:dyDescent="0.25">
      <c r="A15" t="str">
        <f>IF(Table1[[#This Row],[Customer Name]]="Emma Clark","EMMA CLARK",Table1[[#This Row],[Customer Name]])</f>
        <v>Michael Brown</v>
      </c>
      <c r="B15" t="str">
        <f>IF(AND(Table1[[#This Row],[Price]]&gt;50,Table1[[#This Row],[Category]]="Footwear"),"High","Low")</f>
        <v>Low</v>
      </c>
      <c r="C15" t="str">
        <f>TEXT(Table1[[#This Row],[Date]],"MMM-YY")</f>
        <v>Mar-25</v>
      </c>
      <c r="D15" s="10" t="str">
        <f>IF(Table1[[#This Row],[profit]]&gt;5000000,"High",IF(Table1[[#This Row],[profit]]&gt;3000000,"Medium","Low"))</f>
        <v>Low</v>
      </c>
      <c r="E15" t="str">
        <f>IF(Table1[[#This Row],[Status]]="Completed","Paid","Not Paid")</f>
        <v>Not Paid</v>
      </c>
    </row>
    <row r="16" spans="1:5" x14ac:dyDescent="0.25">
      <c r="A16" t="str">
        <f>IF(Table1[[#This Row],[Customer Name]]="Emma Clark","EMMA CLARK",Table1[[#This Row],[Customer Name]])</f>
        <v>John Doe</v>
      </c>
      <c r="B16" t="str">
        <f>IF(AND(Table1[[#This Row],[Price]]&gt;50,Table1[[#This Row],[Category]]="Footwear"),"High","Low")</f>
        <v>Low</v>
      </c>
      <c r="C16" t="str">
        <f>TEXT(Table1[[#This Row],[Date]],"MMM-YY")</f>
        <v>Feb-25</v>
      </c>
      <c r="D16" s="10" t="str">
        <f>IF(Table1[[#This Row],[profit]]&gt;5000000,"High",IF(Table1[[#This Row],[profit]]&gt;3000000,"Medium","Low"))</f>
        <v>High</v>
      </c>
      <c r="E16" t="str">
        <f>IF(Table1[[#This Row],[Status]]="Completed","Paid","Not Paid")</f>
        <v>Paid</v>
      </c>
    </row>
    <row r="17" spans="1:5" x14ac:dyDescent="0.25">
      <c r="A17" t="str">
        <f>IF(Table1[[#This Row],[Customer Name]]="Emma Clark","EMMA CLARK",Table1[[#This Row],[Customer Name]])</f>
        <v>John Doe</v>
      </c>
      <c r="B17" t="str">
        <f>IF(AND(Table1[[#This Row],[Price]]&gt;50,Table1[[#This Row],[Category]]="Footwear"),"High","Low")</f>
        <v>Low</v>
      </c>
      <c r="C17" t="str">
        <f>TEXT(Table1[[#This Row],[Date]],"MMM-YY")</f>
        <v>Feb-25</v>
      </c>
      <c r="D17" s="10" t="str">
        <f>IF(Table1[[#This Row],[profit]]&gt;5000000,"High",IF(Table1[[#This Row],[profit]]&gt;3000000,"Medium","Low"))</f>
        <v>Low</v>
      </c>
      <c r="E17" t="str">
        <f>IF(Table1[[#This Row],[Status]]="Completed","Paid","Not Paid")</f>
        <v>Not Paid</v>
      </c>
    </row>
    <row r="18" spans="1:5" x14ac:dyDescent="0.25">
      <c r="A18" t="str">
        <f>IF(Table1[[#This Row],[Customer Name]]="Emma Clark","EMMA CLARK",Table1[[#This Row],[Customer Name]])</f>
        <v>EMMA CLARK</v>
      </c>
      <c r="B18" t="str">
        <f>IF(AND(Table1[[#This Row],[Price]]&gt;50,Table1[[#This Row],[Category]]="Footwear"),"High","Low")</f>
        <v>Low</v>
      </c>
      <c r="C18" t="str">
        <f>TEXT(Table1[[#This Row],[Date]],"MMM-YY")</f>
        <v>Apr-25</v>
      </c>
      <c r="D18" s="10" t="str">
        <f>IF(Table1[[#This Row],[profit]]&gt;5000000,"High",IF(Table1[[#This Row],[profit]]&gt;3000000,"Medium","Low"))</f>
        <v>Low</v>
      </c>
      <c r="E18" t="str">
        <f>IF(Table1[[#This Row],[Status]]="Completed","Paid","Not Paid")</f>
        <v>Paid</v>
      </c>
    </row>
    <row r="19" spans="1:5" x14ac:dyDescent="0.25">
      <c r="A19" t="str">
        <f>IF(Table1[[#This Row],[Customer Name]]="Emma Clark","EMMA CLARK",Table1[[#This Row],[Customer Name]])</f>
        <v>Michael Brown</v>
      </c>
      <c r="B19" t="str">
        <f>IF(AND(Table1[[#This Row],[Price]]&gt;50,Table1[[#This Row],[Category]]="Footwear"),"High","Low")</f>
        <v>Low</v>
      </c>
      <c r="C19" t="str">
        <f>TEXT(Table1[[#This Row],[Date]],"MMM-YY")</f>
        <v>Feb-25</v>
      </c>
      <c r="D19" s="10" t="str">
        <f>IF(Table1[[#This Row],[profit]]&gt;5000000,"High",IF(Table1[[#This Row],[profit]]&gt;3000000,"Medium","Low"))</f>
        <v>Low</v>
      </c>
      <c r="E19" t="str">
        <f>IF(Table1[[#This Row],[Status]]="Completed","Paid","Not Paid")</f>
        <v>Paid</v>
      </c>
    </row>
    <row r="20" spans="1:5" x14ac:dyDescent="0.25">
      <c r="A20" t="str">
        <f>IF(Table1[[#This Row],[Customer Name]]="Emma Clark","EMMA CLARK",Table1[[#This Row],[Customer Name]])</f>
        <v>Olivia Wilson</v>
      </c>
      <c r="B20" t="str">
        <f>IF(AND(Table1[[#This Row],[Price]]&gt;50,Table1[[#This Row],[Category]]="Footwear"),"High","Low")</f>
        <v>High</v>
      </c>
      <c r="C20" t="str">
        <f>TEXT(Table1[[#This Row],[Date]],"MMM-YY")</f>
        <v>Mar-25</v>
      </c>
      <c r="D20" s="10" t="str">
        <f>IF(Table1[[#This Row],[profit]]&gt;5000000,"High",IF(Table1[[#This Row],[profit]]&gt;3000000,"Medium","Low"))</f>
        <v>Low</v>
      </c>
      <c r="E20" t="str">
        <f>IF(Table1[[#This Row],[Status]]="Completed","Paid","Not Paid")</f>
        <v>Paid</v>
      </c>
    </row>
    <row r="21" spans="1:5" x14ac:dyDescent="0.25">
      <c r="A21" t="str">
        <f>IF(Table1[[#This Row],[Customer Name]]="Emma Clark","EMMA CLARK",Table1[[#This Row],[Customer Name]])</f>
        <v>Olivia Wilson</v>
      </c>
      <c r="B21" t="str">
        <f>IF(AND(Table1[[#This Row],[Price]]&gt;50,Table1[[#This Row],[Category]]="Footwear"),"High","Low")</f>
        <v>Low</v>
      </c>
      <c r="C21" t="str">
        <f>TEXT(Table1[[#This Row],[Date]],"MMM-YY")</f>
        <v>Mar-25</v>
      </c>
      <c r="D21" s="10" t="str">
        <f>IF(Table1[[#This Row],[profit]]&gt;5000000,"High",IF(Table1[[#This Row],[profit]]&gt;3000000,"Medium","Low"))</f>
        <v>Low</v>
      </c>
      <c r="E21" t="str">
        <f>IF(Table1[[#This Row],[Status]]="Completed","Paid","Not Paid")</f>
        <v>Not Paid</v>
      </c>
    </row>
    <row r="22" spans="1:5" x14ac:dyDescent="0.25">
      <c r="A22" t="str">
        <f>IF(Table1[[#This Row],[Customer Name]]="Emma Clark","EMMA CLARK",Table1[[#This Row],[Customer Name]])</f>
        <v>Chris White</v>
      </c>
      <c r="B22" t="str">
        <f>IF(AND(Table1[[#This Row],[Price]]&gt;50,Table1[[#This Row],[Category]]="Footwear"),"High","Low")</f>
        <v>Low</v>
      </c>
      <c r="C22" t="str">
        <f>TEXT(Table1[[#This Row],[Date]],"MMM-YY")</f>
        <v>Feb-25</v>
      </c>
      <c r="D22" s="10" t="str">
        <f>IF(Table1[[#This Row],[profit]]&gt;5000000,"High",IF(Table1[[#This Row],[profit]]&gt;3000000,"Medium","Low"))</f>
        <v>Low</v>
      </c>
      <c r="E22" t="str">
        <f>IF(Table1[[#This Row],[Status]]="Completed","Paid","Not Paid")</f>
        <v>Paid</v>
      </c>
    </row>
    <row r="23" spans="1:5" x14ac:dyDescent="0.25">
      <c r="A23" t="str">
        <f>IF(Table1[[#This Row],[Customer Name]]="Emma Clark","EMMA CLARK",Table1[[#This Row],[Customer Name]])</f>
        <v>Olivia Wilson</v>
      </c>
      <c r="B23" t="str">
        <f>IF(AND(Table1[[#This Row],[Price]]&gt;50,Table1[[#This Row],[Category]]="Footwear"),"High","Low")</f>
        <v>Low</v>
      </c>
      <c r="C23" t="str">
        <f>TEXT(Table1[[#This Row],[Date]],"MMM-YY")</f>
        <v>Mar-25</v>
      </c>
      <c r="D23" s="10" t="str">
        <f>IF(Table1[[#This Row],[profit]]&gt;5000000,"High",IF(Table1[[#This Row],[profit]]&gt;3000000,"Medium","Low"))</f>
        <v>High</v>
      </c>
      <c r="E23" t="str">
        <f>IF(Table1[[#This Row],[Status]]="Completed","Paid","Not Paid")</f>
        <v>Not Paid</v>
      </c>
    </row>
    <row r="24" spans="1:5" x14ac:dyDescent="0.25">
      <c r="A24" t="str">
        <f>IF(Table1[[#This Row],[Customer Name]]="Emma Clark","EMMA CLARK",Table1[[#This Row],[Customer Name]])</f>
        <v>EMMA CLARK</v>
      </c>
      <c r="B24" t="str">
        <f>IF(AND(Table1[[#This Row],[Price]]&gt;50,Table1[[#This Row],[Category]]="Footwear"),"High","Low")</f>
        <v>Low</v>
      </c>
      <c r="C24" t="str">
        <f>TEXT(Table1[[#This Row],[Date]],"MMM-YY")</f>
        <v>Feb-25</v>
      </c>
      <c r="D24" s="10" t="str">
        <f>IF(Table1[[#This Row],[profit]]&gt;5000000,"High",IF(Table1[[#This Row],[profit]]&gt;3000000,"Medium","Low"))</f>
        <v>Low</v>
      </c>
      <c r="E24" t="str">
        <f>IF(Table1[[#This Row],[Status]]="Completed","Paid","Not Paid")</f>
        <v>Paid</v>
      </c>
    </row>
    <row r="25" spans="1:5" x14ac:dyDescent="0.25">
      <c r="A25" t="str">
        <f>IF(Table1[[#This Row],[Customer Name]]="Emma Clark","EMMA CLARK",Table1[[#This Row],[Customer Name]])</f>
        <v>Chris White</v>
      </c>
      <c r="B25" t="str">
        <f>IF(AND(Table1[[#This Row],[Price]]&gt;50,Table1[[#This Row],[Category]]="Footwear"),"High","Low")</f>
        <v>Low</v>
      </c>
      <c r="C25" t="str">
        <f>TEXT(Table1[[#This Row],[Date]],"MMM-YY")</f>
        <v>Mar-25</v>
      </c>
      <c r="D25" s="10" t="str">
        <f>IF(Table1[[#This Row],[profit]]&gt;5000000,"High",IF(Table1[[#This Row],[profit]]&gt;3000000,"Medium","Low"))</f>
        <v>Low</v>
      </c>
      <c r="E25" t="str">
        <f>IF(Table1[[#This Row],[Status]]="Completed","Paid","Not Paid")</f>
        <v>Not Paid</v>
      </c>
    </row>
    <row r="26" spans="1:5" x14ac:dyDescent="0.25">
      <c r="A26" t="str">
        <f>IF(Table1[[#This Row],[Customer Name]]="Emma Clark","EMMA CLARK",Table1[[#This Row],[Customer Name]])</f>
        <v>Sophia Miller</v>
      </c>
      <c r="B26" t="str">
        <f>IF(AND(Table1[[#This Row],[Price]]&gt;50,Table1[[#This Row],[Category]]="Footwear"),"High","Low")</f>
        <v>Low</v>
      </c>
      <c r="C26" t="str">
        <f>TEXT(Table1[[#This Row],[Date]],"MMM-YY")</f>
        <v>Mar-25</v>
      </c>
      <c r="D26" s="10" t="str">
        <f>IF(Table1[[#This Row],[profit]]&gt;5000000,"High",IF(Table1[[#This Row],[profit]]&gt;3000000,"Medium","Low"))</f>
        <v>Low</v>
      </c>
      <c r="E26" t="str">
        <f>IF(Table1[[#This Row],[Status]]="Completed","Paid","Not Paid")</f>
        <v>Not Paid</v>
      </c>
    </row>
    <row r="27" spans="1:5" x14ac:dyDescent="0.25">
      <c r="A27" t="str">
        <f>IF(Table1[[#This Row],[Customer Name]]="Emma Clark","EMMA CLARK",Table1[[#This Row],[Customer Name]])</f>
        <v>Olivia Wilson</v>
      </c>
      <c r="B27" t="str">
        <f>IF(AND(Table1[[#This Row],[Price]]&gt;50,Table1[[#This Row],[Category]]="Footwear"),"High","Low")</f>
        <v>Low</v>
      </c>
      <c r="C27" t="str">
        <f>TEXT(Table1[[#This Row],[Date]],"MMM-YY")</f>
        <v>Feb-25</v>
      </c>
      <c r="D27" s="10" t="str">
        <f>IF(Table1[[#This Row],[profit]]&gt;5000000,"High",IF(Table1[[#This Row],[profit]]&gt;3000000,"Medium","Low"))</f>
        <v>Low</v>
      </c>
      <c r="E27" t="str">
        <f>IF(Table1[[#This Row],[Status]]="Completed","Paid","Not Paid")</f>
        <v>Not Paid</v>
      </c>
    </row>
    <row r="28" spans="1:5" x14ac:dyDescent="0.25">
      <c r="A28" t="str">
        <f>IF(Table1[[#This Row],[Customer Name]]="Emma Clark","EMMA CLARK",Table1[[#This Row],[Customer Name]])</f>
        <v>Daniel Harris</v>
      </c>
      <c r="B28" t="str">
        <f>IF(AND(Table1[[#This Row],[Price]]&gt;50,Table1[[#This Row],[Category]]="Footwear"),"High","Low")</f>
        <v>Low</v>
      </c>
      <c r="C28" t="str">
        <f>TEXT(Table1[[#This Row],[Date]],"MMM-YY")</f>
        <v>Feb-25</v>
      </c>
      <c r="D28" s="10" t="str">
        <f>IF(Table1[[#This Row],[profit]]&gt;5000000,"High",IF(Table1[[#This Row],[profit]]&gt;3000000,"Medium","Low"))</f>
        <v>Low</v>
      </c>
      <c r="E28" t="str">
        <f>IF(Table1[[#This Row],[Status]]="Completed","Paid","Not Paid")</f>
        <v>Paid</v>
      </c>
    </row>
    <row r="29" spans="1:5" x14ac:dyDescent="0.25">
      <c r="A29" t="str">
        <f>IF(Table1[[#This Row],[Customer Name]]="Emma Clark","EMMA CLARK",Table1[[#This Row],[Customer Name]])</f>
        <v>Jane Smith</v>
      </c>
      <c r="B29" t="str">
        <f>IF(AND(Table1[[#This Row],[Price]]&gt;50,Table1[[#This Row],[Category]]="Footwear"),"High","Low")</f>
        <v>Low</v>
      </c>
      <c r="C29" t="str">
        <f>TEXT(Table1[[#This Row],[Date]],"MMM-YY")</f>
        <v>Feb-25</v>
      </c>
      <c r="D29" s="10" t="str">
        <f>IF(Table1[[#This Row],[profit]]&gt;5000000,"High",IF(Table1[[#This Row],[profit]]&gt;3000000,"Medium","Low"))</f>
        <v>Medium</v>
      </c>
      <c r="E29" t="str">
        <f>IF(Table1[[#This Row],[Status]]="Completed","Paid","Not Paid")</f>
        <v>Paid</v>
      </c>
    </row>
    <row r="30" spans="1:5" x14ac:dyDescent="0.25">
      <c r="A30" t="str">
        <f>IF(Table1[[#This Row],[Customer Name]]="Emma Clark","EMMA CLARK",Table1[[#This Row],[Customer Name]])</f>
        <v>Sophia Miller</v>
      </c>
      <c r="B30" t="str">
        <f>IF(AND(Table1[[#This Row],[Price]]&gt;50,Table1[[#This Row],[Category]]="Footwear"),"High","Low")</f>
        <v>Low</v>
      </c>
      <c r="C30" t="str">
        <f>TEXT(Table1[[#This Row],[Date]],"MMM-YY")</f>
        <v>Feb-25</v>
      </c>
      <c r="D30" s="10" t="str">
        <f>IF(Table1[[#This Row],[profit]]&gt;5000000,"High",IF(Table1[[#This Row],[profit]]&gt;3000000,"Medium","Low"))</f>
        <v>Low</v>
      </c>
      <c r="E30" t="str">
        <f>IF(Table1[[#This Row],[Status]]="Completed","Paid","Not Paid")</f>
        <v>Paid</v>
      </c>
    </row>
    <row r="31" spans="1:5" x14ac:dyDescent="0.25">
      <c r="A31" t="str">
        <f>IF(Table1[[#This Row],[Customer Name]]="Emma Clark","EMMA CLARK",Table1[[#This Row],[Customer Name]])</f>
        <v>Emily Johnson</v>
      </c>
      <c r="B31" t="str">
        <f>IF(AND(Table1[[#This Row],[Price]]&gt;50,Table1[[#This Row],[Category]]="Footwear"),"High","Low")</f>
        <v>Low</v>
      </c>
      <c r="C31" t="str">
        <f>TEXT(Table1[[#This Row],[Date]],"MMM-YY")</f>
        <v>Feb-25</v>
      </c>
      <c r="D31" s="10" t="str">
        <f>IF(Table1[[#This Row],[profit]]&gt;5000000,"High",IF(Table1[[#This Row],[profit]]&gt;3000000,"Medium","Low"))</f>
        <v>Low</v>
      </c>
      <c r="E31" t="str">
        <f>IF(Table1[[#This Row],[Status]]="Completed","Paid","Not Paid")</f>
        <v>Not Paid</v>
      </c>
    </row>
    <row r="32" spans="1:5" x14ac:dyDescent="0.25">
      <c r="A32" t="str">
        <f>IF(Table1[[#This Row],[Customer Name]]="Emma Clark","EMMA CLARK",Table1[[#This Row],[Customer Name]])</f>
        <v>John Doe</v>
      </c>
      <c r="B32" t="str">
        <f>IF(AND(Table1[[#This Row],[Price]]&gt;50,Table1[[#This Row],[Category]]="Footwear"),"High","Low")</f>
        <v>Low</v>
      </c>
      <c r="C32" t="str">
        <f>TEXT(Table1[[#This Row],[Date]],"MMM-YY")</f>
        <v>Mar-25</v>
      </c>
      <c r="D32" s="10" t="str">
        <f>IF(Table1[[#This Row],[profit]]&gt;5000000,"High",IF(Table1[[#This Row],[profit]]&gt;3000000,"Medium","Low"))</f>
        <v>Low</v>
      </c>
      <c r="E32" t="str">
        <f>IF(Table1[[#This Row],[Status]]="Completed","Paid","Not Paid")</f>
        <v>Not Paid</v>
      </c>
    </row>
    <row r="33" spans="1:5" x14ac:dyDescent="0.25">
      <c r="A33" t="str">
        <f>IF(Table1[[#This Row],[Customer Name]]="Emma Clark","EMMA CLARK",Table1[[#This Row],[Customer Name]])</f>
        <v>Michael Brown</v>
      </c>
      <c r="B33" t="str">
        <f>IF(AND(Table1[[#This Row],[Price]]&gt;50,Table1[[#This Row],[Category]]="Footwear"),"High","Low")</f>
        <v>Low</v>
      </c>
      <c r="C33" t="str">
        <f>TEXT(Table1[[#This Row],[Date]],"MMM-YY")</f>
        <v>Mar-25</v>
      </c>
      <c r="D33" s="10" t="str">
        <f>IF(Table1[[#This Row],[profit]]&gt;5000000,"High",IF(Table1[[#This Row],[profit]]&gt;3000000,"Medium","Low"))</f>
        <v>Low</v>
      </c>
      <c r="E33" t="str">
        <f>IF(Table1[[#This Row],[Status]]="Completed","Paid","Not Paid")</f>
        <v>Paid</v>
      </c>
    </row>
    <row r="34" spans="1:5" x14ac:dyDescent="0.25">
      <c r="A34" t="str">
        <f>IF(Table1[[#This Row],[Customer Name]]="Emma Clark","EMMA CLARK",Table1[[#This Row],[Customer Name]])</f>
        <v>Olivia Wilson</v>
      </c>
      <c r="B34" t="str">
        <f>IF(AND(Table1[[#This Row],[Price]]&gt;50,Table1[[#This Row],[Category]]="Footwear"),"High","Low")</f>
        <v>Low</v>
      </c>
      <c r="C34" t="str">
        <f>TEXT(Table1[[#This Row],[Date]],"MMM-YY")</f>
        <v>Feb-25</v>
      </c>
      <c r="D34" s="10" t="str">
        <f>IF(Table1[[#This Row],[profit]]&gt;5000000,"High",IF(Table1[[#This Row],[profit]]&gt;3000000,"Medium","Low"))</f>
        <v>Low</v>
      </c>
      <c r="E34" t="str">
        <f>IF(Table1[[#This Row],[Status]]="Completed","Paid","Not Paid")</f>
        <v>Not Paid</v>
      </c>
    </row>
    <row r="35" spans="1:5" x14ac:dyDescent="0.25">
      <c r="A35" t="str">
        <f>IF(Table1[[#This Row],[Customer Name]]="Emma Clark","EMMA CLARK",Table1[[#This Row],[Customer Name]])</f>
        <v>Jane Smith</v>
      </c>
      <c r="B35" t="str">
        <f>IF(AND(Table1[[#This Row],[Price]]&gt;50,Table1[[#This Row],[Category]]="Footwear"),"High","Low")</f>
        <v>Low</v>
      </c>
      <c r="C35" t="str">
        <f>TEXT(Table1[[#This Row],[Date]],"MMM-YY")</f>
        <v>Apr-25</v>
      </c>
      <c r="D35" s="10" t="str">
        <f>IF(Table1[[#This Row],[profit]]&gt;5000000,"High",IF(Table1[[#This Row],[profit]]&gt;3000000,"Medium","Low"))</f>
        <v>Low</v>
      </c>
      <c r="E35" t="str">
        <f>IF(Table1[[#This Row],[Status]]="Completed","Paid","Not Paid")</f>
        <v>Not Paid</v>
      </c>
    </row>
    <row r="36" spans="1:5" x14ac:dyDescent="0.25">
      <c r="A36" t="str">
        <f>IF(Table1[[#This Row],[Customer Name]]="Emma Clark","EMMA CLARK",Table1[[#This Row],[Customer Name]])</f>
        <v>EMMA CLARK</v>
      </c>
      <c r="B36" t="str">
        <f>IF(AND(Table1[[#This Row],[Price]]&gt;50,Table1[[#This Row],[Category]]="Footwear"),"High","Low")</f>
        <v>Low</v>
      </c>
      <c r="C36" t="str">
        <f>TEXT(Table1[[#This Row],[Date]],"MMM-YY")</f>
        <v>Apr-25</v>
      </c>
      <c r="D36" s="10" t="str">
        <f>IF(Table1[[#This Row],[profit]]&gt;5000000,"High",IF(Table1[[#This Row],[profit]]&gt;3000000,"Medium","Low"))</f>
        <v>Low</v>
      </c>
      <c r="E36" t="str">
        <f>IF(Table1[[#This Row],[Status]]="Completed","Paid","Not Paid")</f>
        <v>Paid</v>
      </c>
    </row>
    <row r="37" spans="1:5" x14ac:dyDescent="0.25">
      <c r="A37" t="str">
        <f>IF(Table1[[#This Row],[Customer Name]]="Emma Clark","EMMA CLARK",Table1[[#This Row],[Customer Name]])</f>
        <v>Sophia Miller</v>
      </c>
      <c r="B37" t="str">
        <f>IF(AND(Table1[[#This Row],[Price]]&gt;50,Table1[[#This Row],[Category]]="Footwear"),"High","Low")</f>
        <v>Low</v>
      </c>
      <c r="C37" t="str">
        <f>TEXT(Table1[[#This Row],[Date]],"MMM-YY")</f>
        <v>Feb-25</v>
      </c>
      <c r="D37" s="10" t="str">
        <f>IF(Table1[[#This Row],[profit]]&gt;5000000,"High",IF(Table1[[#This Row],[profit]]&gt;3000000,"Medium","Low"))</f>
        <v>High</v>
      </c>
      <c r="E37" t="str">
        <f>IF(Table1[[#This Row],[Status]]="Completed","Paid","Not Paid")</f>
        <v>Not Paid</v>
      </c>
    </row>
    <row r="38" spans="1:5" x14ac:dyDescent="0.25">
      <c r="A38" t="str">
        <f>IF(Table1[[#This Row],[Customer Name]]="Emma Clark","EMMA CLARK",Table1[[#This Row],[Customer Name]])</f>
        <v>Michael Brown</v>
      </c>
      <c r="B38" t="str">
        <f>IF(AND(Table1[[#This Row],[Price]]&gt;50,Table1[[#This Row],[Category]]="Footwear"),"High","Low")</f>
        <v>Low</v>
      </c>
      <c r="C38" t="str">
        <f>TEXT(Table1[[#This Row],[Date]],"MMM-YY")</f>
        <v>Feb-25</v>
      </c>
      <c r="D38" s="10" t="str">
        <f>IF(Table1[[#This Row],[profit]]&gt;5000000,"High",IF(Table1[[#This Row],[profit]]&gt;3000000,"Medium","Low"))</f>
        <v>Low</v>
      </c>
      <c r="E38" t="str">
        <f>IF(Table1[[#This Row],[Status]]="Completed","Paid","Not Paid")</f>
        <v>Not Paid</v>
      </c>
    </row>
    <row r="39" spans="1:5" x14ac:dyDescent="0.25">
      <c r="A39" t="str">
        <f>IF(Table1[[#This Row],[Customer Name]]="Emma Clark","EMMA CLARK",Table1[[#This Row],[Customer Name]])</f>
        <v>Olivia Wilson</v>
      </c>
      <c r="B39" t="str">
        <f>IF(AND(Table1[[#This Row],[Price]]&gt;50,Table1[[#This Row],[Category]]="Footwear"),"High","Low")</f>
        <v>Low</v>
      </c>
      <c r="C39" t="str">
        <f>TEXT(Table1[[#This Row],[Date]],"MMM-YY")</f>
        <v>Mar-25</v>
      </c>
      <c r="D39" s="10" t="str">
        <f>IF(Table1[[#This Row],[profit]]&gt;5000000,"High",IF(Table1[[#This Row],[profit]]&gt;3000000,"Medium","Low"))</f>
        <v>Low</v>
      </c>
      <c r="E39" t="str">
        <f>IF(Table1[[#This Row],[Status]]="Completed","Paid","Not Paid")</f>
        <v>Paid</v>
      </c>
    </row>
    <row r="40" spans="1:5" x14ac:dyDescent="0.25">
      <c r="A40" t="str">
        <f>IF(Table1[[#This Row],[Customer Name]]="Emma Clark","EMMA CLARK",Table1[[#This Row],[Customer Name]])</f>
        <v>Olivia Wilson</v>
      </c>
      <c r="B40" t="str">
        <f>IF(AND(Table1[[#This Row],[Price]]&gt;50,Table1[[#This Row],[Category]]="Footwear"),"High","Low")</f>
        <v>Low</v>
      </c>
      <c r="C40" t="str">
        <f>TEXT(Table1[[#This Row],[Date]],"MMM-YY")</f>
        <v>Mar-25</v>
      </c>
      <c r="D40" s="10" t="str">
        <f>IF(Table1[[#This Row],[profit]]&gt;5000000,"High",IF(Table1[[#This Row],[profit]]&gt;3000000,"Medium","Low"))</f>
        <v>Low</v>
      </c>
      <c r="E40" t="str">
        <f>IF(Table1[[#This Row],[Status]]="Completed","Paid","Not Paid")</f>
        <v>Paid</v>
      </c>
    </row>
    <row r="41" spans="1:5" x14ac:dyDescent="0.25">
      <c r="A41" t="str">
        <f>IF(Table1[[#This Row],[Customer Name]]="Emma Clark","EMMA CLARK",Table1[[#This Row],[Customer Name]])</f>
        <v>Emily Johnson</v>
      </c>
      <c r="B41" t="str">
        <f>IF(AND(Table1[[#This Row],[Price]]&gt;50,Table1[[#This Row],[Category]]="Footwear"),"High","Low")</f>
        <v>Low</v>
      </c>
      <c r="C41" t="str">
        <f>TEXT(Table1[[#This Row],[Date]],"MMM-YY")</f>
        <v>Mar-25</v>
      </c>
      <c r="D41" s="10" t="str">
        <f>IF(Table1[[#This Row],[profit]]&gt;5000000,"High",IF(Table1[[#This Row],[profit]]&gt;3000000,"Medium","Low"))</f>
        <v>Low</v>
      </c>
      <c r="E41" t="str">
        <f>IF(Table1[[#This Row],[Status]]="Completed","Paid","Not Paid")</f>
        <v>Not Paid</v>
      </c>
    </row>
    <row r="42" spans="1:5" x14ac:dyDescent="0.25">
      <c r="A42" t="str">
        <f>IF(Table1[[#This Row],[Customer Name]]="Emma Clark","EMMA CLARK",Table1[[#This Row],[Customer Name]])</f>
        <v>Jane Smith</v>
      </c>
      <c r="B42" t="str">
        <f>IF(AND(Table1[[#This Row],[Price]]&gt;50,Table1[[#This Row],[Category]]="Footwear"),"High","Low")</f>
        <v>Low</v>
      </c>
      <c r="C42" t="str">
        <f>TEXT(Table1[[#This Row],[Date]],"MMM-YY")</f>
        <v>Feb-25</v>
      </c>
      <c r="D42" s="10" t="str">
        <f>IF(Table1[[#This Row],[profit]]&gt;5000000,"High",IF(Table1[[#This Row],[profit]]&gt;3000000,"Medium","Low"))</f>
        <v>Low</v>
      </c>
      <c r="E42" t="str">
        <f>IF(Table1[[#This Row],[Status]]="Completed","Paid","Not Paid")</f>
        <v>Paid</v>
      </c>
    </row>
    <row r="43" spans="1:5" x14ac:dyDescent="0.25">
      <c r="A43" t="str">
        <f>IF(Table1[[#This Row],[Customer Name]]="Emma Clark","EMMA CLARK",Table1[[#This Row],[Customer Name]])</f>
        <v>Jane Smith</v>
      </c>
      <c r="B43" t="str">
        <f>IF(AND(Table1[[#This Row],[Price]]&gt;50,Table1[[#This Row],[Category]]="Footwear"),"High","Low")</f>
        <v>Low</v>
      </c>
      <c r="C43" t="str">
        <f>TEXT(Table1[[#This Row],[Date]],"MMM-YY")</f>
        <v>Mar-25</v>
      </c>
      <c r="D43" s="10" t="str">
        <f>IF(Table1[[#This Row],[profit]]&gt;5000000,"High",IF(Table1[[#This Row],[profit]]&gt;3000000,"Medium","Low"))</f>
        <v>Low</v>
      </c>
      <c r="E43" t="str">
        <f>IF(Table1[[#This Row],[Status]]="Completed","Paid","Not Paid")</f>
        <v>Not Paid</v>
      </c>
    </row>
    <row r="44" spans="1:5" x14ac:dyDescent="0.25">
      <c r="A44" t="str">
        <f>IF(Table1[[#This Row],[Customer Name]]="Emma Clark","EMMA CLARK",Table1[[#This Row],[Customer Name]])</f>
        <v>Jane Smith</v>
      </c>
      <c r="B44" t="str">
        <f>IF(AND(Table1[[#This Row],[Price]]&gt;50,Table1[[#This Row],[Category]]="Footwear"),"High","Low")</f>
        <v>Low</v>
      </c>
      <c r="C44" t="str">
        <f>TEXT(Table1[[#This Row],[Date]],"MMM-YY")</f>
        <v>Feb-25</v>
      </c>
      <c r="D44" s="10" t="str">
        <f>IF(Table1[[#This Row],[profit]]&gt;5000000,"High",IF(Table1[[#This Row],[profit]]&gt;3000000,"Medium","Low"))</f>
        <v>Low</v>
      </c>
      <c r="E44" t="str">
        <f>IF(Table1[[#This Row],[Status]]="Completed","Paid","Not Paid")</f>
        <v>Paid</v>
      </c>
    </row>
    <row r="45" spans="1:5" x14ac:dyDescent="0.25">
      <c r="A45" t="str">
        <f>IF(Table1[[#This Row],[Customer Name]]="Emma Clark","EMMA CLARK",Table1[[#This Row],[Customer Name]])</f>
        <v>Chris White</v>
      </c>
      <c r="B45" t="str">
        <f>IF(AND(Table1[[#This Row],[Price]]&gt;50,Table1[[#This Row],[Category]]="Footwear"),"High","Low")</f>
        <v>Low</v>
      </c>
      <c r="C45" t="str">
        <f>TEXT(Table1[[#This Row],[Date]],"MMM-YY")</f>
        <v>Mar-25</v>
      </c>
      <c r="D45" s="10" t="str">
        <f>IF(Table1[[#This Row],[profit]]&gt;5000000,"High",IF(Table1[[#This Row],[profit]]&gt;3000000,"Medium","Low"))</f>
        <v>High</v>
      </c>
      <c r="E45" t="str">
        <f>IF(Table1[[#This Row],[Status]]="Completed","Paid","Not Paid")</f>
        <v>Not Paid</v>
      </c>
    </row>
    <row r="46" spans="1:5" x14ac:dyDescent="0.25">
      <c r="A46" t="str">
        <f>IF(Table1[[#This Row],[Customer Name]]="Emma Clark","EMMA CLARK",Table1[[#This Row],[Customer Name]])</f>
        <v>Daniel Harris</v>
      </c>
      <c r="B46" t="str">
        <f>IF(AND(Table1[[#This Row],[Price]]&gt;50,Table1[[#This Row],[Category]]="Footwear"),"High","Low")</f>
        <v>Low</v>
      </c>
      <c r="C46" t="str">
        <f>TEXT(Table1[[#This Row],[Date]],"MMM-YY")</f>
        <v>Mar-25</v>
      </c>
      <c r="D46" s="10" t="str">
        <f>IF(Table1[[#This Row],[profit]]&gt;5000000,"High",IF(Table1[[#This Row],[profit]]&gt;3000000,"Medium","Low"))</f>
        <v>Low</v>
      </c>
      <c r="E46" t="str">
        <f>IF(Table1[[#This Row],[Status]]="Completed","Paid","Not Paid")</f>
        <v>Not Paid</v>
      </c>
    </row>
    <row r="47" spans="1:5" x14ac:dyDescent="0.25">
      <c r="A47" t="str">
        <f>IF(Table1[[#This Row],[Customer Name]]="Emma Clark","EMMA CLARK",Table1[[#This Row],[Customer Name]])</f>
        <v>David Lee</v>
      </c>
      <c r="B47" t="str">
        <f>IF(AND(Table1[[#This Row],[Price]]&gt;50,Table1[[#This Row],[Category]]="Footwear"),"High","Low")</f>
        <v>High</v>
      </c>
      <c r="C47" t="str">
        <f>TEXT(Table1[[#This Row],[Date]],"MMM-YY")</f>
        <v>Mar-25</v>
      </c>
      <c r="D47" s="10" t="str">
        <f>IF(Table1[[#This Row],[profit]]&gt;5000000,"High",IF(Table1[[#This Row],[profit]]&gt;3000000,"Medium","Low"))</f>
        <v>High</v>
      </c>
      <c r="E47" t="str">
        <f>IF(Table1[[#This Row],[Status]]="Completed","Paid","Not Paid")</f>
        <v>Not Paid</v>
      </c>
    </row>
    <row r="48" spans="1:5" x14ac:dyDescent="0.25">
      <c r="A48" t="str">
        <f>IF(Table1[[#This Row],[Customer Name]]="Emma Clark","EMMA CLARK",Table1[[#This Row],[Customer Name]])</f>
        <v>Chris White</v>
      </c>
      <c r="B48" t="str">
        <f>IF(AND(Table1[[#This Row],[Price]]&gt;50,Table1[[#This Row],[Category]]="Footwear"),"High","Low")</f>
        <v>Low</v>
      </c>
      <c r="C48" t="str">
        <f>TEXT(Table1[[#This Row],[Date]],"MMM-YY")</f>
        <v>Mar-25</v>
      </c>
      <c r="D48" s="10" t="str">
        <f>IF(Table1[[#This Row],[profit]]&gt;5000000,"High",IF(Table1[[#This Row],[profit]]&gt;3000000,"Medium","Low"))</f>
        <v>Medium</v>
      </c>
      <c r="E48" t="str">
        <f>IF(Table1[[#This Row],[Status]]="Completed","Paid","Not Paid")</f>
        <v>Paid</v>
      </c>
    </row>
    <row r="49" spans="1:5" x14ac:dyDescent="0.25">
      <c r="A49" t="str">
        <f>IF(Table1[[#This Row],[Customer Name]]="Emma Clark","EMMA CLARK",Table1[[#This Row],[Customer Name]])</f>
        <v>Jane Smith</v>
      </c>
      <c r="B49" t="str">
        <f>IF(AND(Table1[[#This Row],[Price]]&gt;50,Table1[[#This Row],[Category]]="Footwear"),"High","Low")</f>
        <v>Low</v>
      </c>
      <c r="C49" t="str">
        <f>TEXT(Table1[[#This Row],[Date]],"MMM-YY")</f>
        <v>Feb-25</v>
      </c>
      <c r="D49" s="10" t="str">
        <f>IF(Table1[[#This Row],[profit]]&gt;5000000,"High",IF(Table1[[#This Row],[profit]]&gt;3000000,"Medium","Low"))</f>
        <v>Low</v>
      </c>
      <c r="E49" t="str">
        <f>IF(Table1[[#This Row],[Status]]="Completed","Paid","Not Paid")</f>
        <v>Paid</v>
      </c>
    </row>
    <row r="50" spans="1:5" x14ac:dyDescent="0.25">
      <c r="A50" t="str">
        <f>IF(Table1[[#This Row],[Customer Name]]="Emma Clark","EMMA CLARK",Table1[[#This Row],[Customer Name]])</f>
        <v>EMMA CLARK</v>
      </c>
      <c r="B50" t="str">
        <f>IF(AND(Table1[[#This Row],[Price]]&gt;50,Table1[[#This Row],[Category]]="Footwear"),"High","Low")</f>
        <v>Low</v>
      </c>
      <c r="C50" t="str">
        <f>TEXT(Table1[[#This Row],[Date]],"MMM-YY")</f>
        <v>Feb-25</v>
      </c>
      <c r="D50" s="10" t="str">
        <f>IF(Table1[[#This Row],[profit]]&gt;5000000,"High",IF(Table1[[#This Row],[profit]]&gt;3000000,"Medium","Low"))</f>
        <v>Low</v>
      </c>
      <c r="E50" t="str">
        <f>IF(Table1[[#This Row],[Status]]="Completed","Paid","Not Paid")</f>
        <v>Paid</v>
      </c>
    </row>
    <row r="51" spans="1:5" x14ac:dyDescent="0.25">
      <c r="A51" t="str">
        <f>IF(Table1[[#This Row],[Customer Name]]="Emma Clark","EMMA CLARK",Table1[[#This Row],[Customer Name]])</f>
        <v>John Doe</v>
      </c>
      <c r="B51" t="str">
        <f>IF(AND(Table1[[#This Row],[Price]]&gt;50,Table1[[#This Row],[Category]]="Footwear"),"High","Low")</f>
        <v>Low</v>
      </c>
      <c r="C51" t="str">
        <f>TEXT(Table1[[#This Row],[Date]],"MMM-YY")</f>
        <v>Mar-25</v>
      </c>
      <c r="D51" s="10" t="str">
        <f>IF(Table1[[#This Row],[profit]]&gt;5000000,"High",IF(Table1[[#This Row],[profit]]&gt;3000000,"Medium","Low"))</f>
        <v>High</v>
      </c>
      <c r="E51" t="str">
        <f>IF(Table1[[#This Row],[Status]]="Completed","Paid","Not Paid")</f>
        <v>Not Paid</v>
      </c>
    </row>
    <row r="52" spans="1:5" x14ac:dyDescent="0.25">
      <c r="A52" t="str">
        <f>IF(Table1[[#This Row],[Customer Name]]="Emma Clark","EMMA CLARK",Table1[[#This Row],[Customer Name]])</f>
        <v>EMMA CLARK</v>
      </c>
      <c r="B52" t="str">
        <f>IF(AND(Table1[[#This Row],[Price]]&gt;50,Table1[[#This Row],[Category]]="Footwear"),"High","Low")</f>
        <v>Low</v>
      </c>
      <c r="C52" t="str">
        <f>TEXT(Table1[[#This Row],[Date]],"MMM-YY")</f>
        <v>Feb-25</v>
      </c>
      <c r="D52" s="10" t="str">
        <f>IF(Table1[[#This Row],[profit]]&gt;5000000,"High",IF(Table1[[#This Row],[profit]]&gt;3000000,"Medium","Low"))</f>
        <v>High</v>
      </c>
      <c r="E52" t="str">
        <f>IF(Table1[[#This Row],[Status]]="Completed","Paid","Not Paid")</f>
        <v>Not Paid</v>
      </c>
    </row>
    <row r="53" spans="1:5" x14ac:dyDescent="0.25">
      <c r="A53" t="str">
        <f>IF(Table1[[#This Row],[Customer Name]]="Emma Clark","EMMA CLARK",Table1[[#This Row],[Customer Name]])</f>
        <v>John Doe</v>
      </c>
      <c r="B53" t="str">
        <f>IF(AND(Table1[[#This Row],[Price]]&gt;50,Table1[[#This Row],[Category]]="Footwear"),"High","Low")</f>
        <v>Low</v>
      </c>
      <c r="C53" t="str">
        <f>TEXT(Table1[[#This Row],[Date]],"MMM-YY")</f>
        <v>Feb-25</v>
      </c>
      <c r="D53" s="10" t="str">
        <f>IF(Table1[[#This Row],[profit]]&gt;5000000,"High",IF(Table1[[#This Row],[profit]]&gt;3000000,"Medium","Low"))</f>
        <v>Low</v>
      </c>
      <c r="E53" t="str">
        <f>IF(Table1[[#This Row],[Status]]="Completed","Paid","Not Paid")</f>
        <v>Paid</v>
      </c>
    </row>
    <row r="54" spans="1:5" x14ac:dyDescent="0.25">
      <c r="A54" t="str">
        <f>IF(Table1[[#This Row],[Customer Name]]="Emma Clark","EMMA CLARK",Table1[[#This Row],[Customer Name]])</f>
        <v>Emily Johnson</v>
      </c>
      <c r="B54" t="str">
        <f>IF(AND(Table1[[#This Row],[Price]]&gt;50,Table1[[#This Row],[Category]]="Footwear"),"High","Low")</f>
        <v>High</v>
      </c>
      <c r="C54" t="str">
        <f>TEXT(Table1[[#This Row],[Date]],"MMM-YY")</f>
        <v>Mar-25</v>
      </c>
      <c r="D54" s="10" t="str">
        <f>IF(Table1[[#This Row],[profit]]&gt;5000000,"High",IF(Table1[[#This Row],[profit]]&gt;3000000,"Medium","Low"))</f>
        <v>High</v>
      </c>
      <c r="E54" t="str">
        <f>IF(Table1[[#This Row],[Status]]="Completed","Paid","Not Paid")</f>
        <v>Not Paid</v>
      </c>
    </row>
    <row r="55" spans="1:5" x14ac:dyDescent="0.25">
      <c r="A55" t="str">
        <f>IF(Table1[[#This Row],[Customer Name]]="Emma Clark","EMMA CLARK",Table1[[#This Row],[Customer Name]])</f>
        <v>David Lee</v>
      </c>
      <c r="B55" t="str">
        <f>IF(AND(Table1[[#This Row],[Price]]&gt;50,Table1[[#This Row],[Category]]="Footwear"),"High","Low")</f>
        <v>Low</v>
      </c>
      <c r="C55" t="str">
        <f>TEXT(Table1[[#This Row],[Date]],"MMM-YY")</f>
        <v>Mar-25</v>
      </c>
      <c r="D55" s="10" t="str">
        <f>IF(Table1[[#This Row],[profit]]&gt;5000000,"High",IF(Table1[[#This Row],[profit]]&gt;3000000,"Medium","Low"))</f>
        <v>Low</v>
      </c>
      <c r="E55" t="str">
        <f>IF(Table1[[#This Row],[Status]]="Completed","Paid","Not Paid")</f>
        <v>Not Paid</v>
      </c>
    </row>
    <row r="56" spans="1:5" x14ac:dyDescent="0.25">
      <c r="A56" t="str">
        <f>IF(Table1[[#This Row],[Customer Name]]="Emma Clark","EMMA CLARK",Table1[[#This Row],[Customer Name]])</f>
        <v>Sophia Miller</v>
      </c>
      <c r="B56" t="str">
        <f>IF(AND(Table1[[#This Row],[Price]]&gt;50,Table1[[#This Row],[Category]]="Footwear"),"High","Low")</f>
        <v>Low</v>
      </c>
      <c r="C56" t="str">
        <f>TEXT(Table1[[#This Row],[Date]],"MMM-YY")</f>
        <v>Mar-25</v>
      </c>
      <c r="D56" s="10" t="str">
        <f>IF(Table1[[#This Row],[profit]]&gt;5000000,"High",IF(Table1[[#This Row],[profit]]&gt;3000000,"Medium","Low"))</f>
        <v>Low</v>
      </c>
      <c r="E56" t="str">
        <f>IF(Table1[[#This Row],[Status]]="Completed","Paid","Not Paid")</f>
        <v>Paid</v>
      </c>
    </row>
    <row r="57" spans="1:5" x14ac:dyDescent="0.25">
      <c r="A57" t="str">
        <f>IF(Table1[[#This Row],[Customer Name]]="Emma Clark","EMMA CLARK",Table1[[#This Row],[Customer Name]])</f>
        <v>EMMA CLARK</v>
      </c>
      <c r="B57" t="str">
        <f>IF(AND(Table1[[#This Row],[Price]]&gt;50,Table1[[#This Row],[Category]]="Footwear"),"High","Low")</f>
        <v>Low</v>
      </c>
      <c r="C57" t="str">
        <f>TEXT(Table1[[#This Row],[Date]],"MMM-YY")</f>
        <v>Mar-25</v>
      </c>
      <c r="D57" s="10" t="str">
        <f>IF(Table1[[#This Row],[profit]]&gt;5000000,"High",IF(Table1[[#This Row],[profit]]&gt;3000000,"Medium","Low"))</f>
        <v>High</v>
      </c>
      <c r="E57" t="str">
        <f>IF(Table1[[#This Row],[Status]]="Completed","Paid","Not Paid")</f>
        <v>Paid</v>
      </c>
    </row>
    <row r="58" spans="1:5" x14ac:dyDescent="0.25">
      <c r="A58" t="str">
        <f>IF(Table1[[#This Row],[Customer Name]]="Emma Clark","EMMA CLARK",Table1[[#This Row],[Customer Name]])</f>
        <v>Jane Smith</v>
      </c>
      <c r="B58" t="str">
        <f>IF(AND(Table1[[#This Row],[Price]]&gt;50,Table1[[#This Row],[Category]]="Footwear"),"High","Low")</f>
        <v>Low</v>
      </c>
      <c r="C58" t="str">
        <f>TEXT(Table1[[#This Row],[Date]],"MMM-YY")</f>
        <v>Mar-25</v>
      </c>
      <c r="D58" s="10" t="str">
        <f>IF(Table1[[#This Row],[profit]]&gt;5000000,"High",IF(Table1[[#This Row],[profit]]&gt;3000000,"Medium","Low"))</f>
        <v>Medium</v>
      </c>
      <c r="E58" t="str">
        <f>IF(Table1[[#This Row],[Status]]="Completed","Paid","Not Paid")</f>
        <v>Paid</v>
      </c>
    </row>
    <row r="59" spans="1:5" x14ac:dyDescent="0.25">
      <c r="A59" t="str">
        <f>IF(Table1[[#This Row],[Customer Name]]="Emma Clark","EMMA CLARK",Table1[[#This Row],[Customer Name]])</f>
        <v>Jane Smith</v>
      </c>
      <c r="B59" t="str">
        <f>IF(AND(Table1[[#This Row],[Price]]&gt;50,Table1[[#This Row],[Category]]="Footwear"),"High","Low")</f>
        <v>Low</v>
      </c>
      <c r="C59" t="str">
        <f>TEXT(Table1[[#This Row],[Date]],"MMM-YY")</f>
        <v>Mar-25</v>
      </c>
      <c r="D59" s="10" t="str">
        <f>IF(Table1[[#This Row],[profit]]&gt;5000000,"High",IF(Table1[[#This Row],[profit]]&gt;3000000,"Medium","Low"))</f>
        <v>High</v>
      </c>
      <c r="E59" t="str">
        <f>IF(Table1[[#This Row],[Status]]="Completed","Paid","Not Paid")</f>
        <v>Not Paid</v>
      </c>
    </row>
    <row r="60" spans="1:5" x14ac:dyDescent="0.25">
      <c r="A60" t="str">
        <f>IF(Table1[[#This Row],[Customer Name]]="Emma Clark","EMMA CLARK",Table1[[#This Row],[Customer Name]])</f>
        <v>Daniel Harris</v>
      </c>
      <c r="B60" t="str">
        <f>IF(AND(Table1[[#This Row],[Price]]&gt;50,Table1[[#This Row],[Category]]="Footwear"),"High","Low")</f>
        <v>Low</v>
      </c>
      <c r="C60" t="str">
        <f>TEXT(Table1[[#This Row],[Date]],"MMM-YY")</f>
        <v>Apr-25</v>
      </c>
      <c r="D60" s="10" t="str">
        <f>IF(Table1[[#This Row],[profit]]&gt;5000000,"High",IF(Table1[[#This Row],[profit]]&gt;3000000,"Medium","Low"))</f>
        <v>Low</v>
      </c>
      <c r="E60" t="str">
        <f>IF(Table1[[#This Row],[Status]]="Completed","Paid","Not Paid")</f>
        <v>Paid</v>
      </c>
    </row>
    <row r="61" spans="1:5" x14ac:dyDescent="0.25">
      <c r="A61" t="str">
        <f>IF(Table1[[#This Row],[Customer Name]]="Emma Clark","EMMA CLARK",Table1[[#This Row],[Customer Name]])</f>
        <v>Jane Smith</v>
      </c>
      <c r="B61" t="str">
        <f>IF(AND(Table1[[#This Row],[Price]]&gt;50,Table1[[#This Row],[Category]]="Footwear"),"High","Low")</f>
        <v>Low</v>
      </c>
      <c r="C61" t="str">
        <f>TEXT(Table1[[#This Row],[Date]],"MMM-YY")</f>
        <v>Mar-25</v>
      </c>
      <c r="D61" s="10" t="str">
        <f>IF(Table1[[#This Row],[profit]]&gt;5000000,"High",IF(Table1[[#This Row],[profit]]&gt;3000000,"Medium","Low"))</f>
        <v>Low</v>
      </c>
      <c r="E61" t="str">
        <f>IF(Table1[[#This Row],[Status]]="Completed","Paid","Not Paid")</f>
        <v>Not Paid</v>
      </c>
    </row>
    <row r="62" spans="1:5" x14ac:dyDescent="0.25">
      <c r="A62" t="str">
        <f>IF(Table1[[#This Row],[Customer Name]]="Emma Clark","EMMA CLARK",Table1[[#This Row],[Customer Name]])</f>
        <v>Jane Smith</v>
      </c>
      <c r="B62" t="str">
        <f>IF(AND(Table1[[#This Row],[Price]]&gt;50,Table1[[#This Row],[Category]]="Footwear"),"High","Low")</f>
        <v>Low</v>
      </c>
      <c r="C62" t="str">
        <f>TEXT(Table1[[#This Row],[Date]],"MMM-YY")</f>
        <v>Mar-25</v>
      </c>
      <c r="D62" s="10" t="str">
        <f>IF(Table1[[#This Row],[profit]]&gt;5000000,"High",IF(Table1[[#This Row],[profit]]&gt;3000000,"Medium","Low"))</f>
        <v>Low</v>
      </c>
      <c r="E62" t="str">
        <f>IF(Table1[[#This Row],[Status]]="Completed","Paid","Not Paid")</f>
        <v>Not Paid</v>
      </c>
    </row>
    <row r="63" spans="1:5" x14ac:dyDescent="0.25">
      <c r="A63" t="str">
        <f>IF(Table1[[#This Row],[Customer Name]]="Emma Clark","EMMA CLARK",Table1[[#This Row],[Customer Name]])</f>
        <v>Olivia Wilson</v>
      </c>
      <c r="B63" t="str">
        <f>IF(AND(Table1[[#This Row],[Price]]&gt;50,Table1[[#This Row],[Category]]="Footwear"),"High","Low")</f>
        <v>Low</v>
      </c>
      <c r="C63" t="str">
        <f>TEXT(Table1[[#This Row],[Date]],"MMM-YY")</f>
        <v>Feb-25</v>
      </c>
      <c r="D63" s="10" t="str">
        <f>IF(Table1[[#This Row],[profit]]&gt;5000000,"High",IF(Table1[[#This Row],[profit]]&gt;3000000,"Medium","Low"))</f>
        <v>Low</v>
      </c>
      <c r="E63" t="str">
        <f>IF(Table1[[#This Row],[Status]]="Completed","Paid","Not Paid")</f>
        <v>Not Paid</v>
      </c>
    </row>
    <row r="64" spans="1:5" x14ac:dyDescent="0.25">
      <c r="A64" t="str">
        <f>IF(Table1[[#This Row],[Customer Name]]="Emma Clark","EMMA CLARK",Table1[[#This Row],[Customer Name]])</f>
        <v>EMMA CLARK</v>
      </c>
      <c r="B64" t="str">
        <f>IF(AND(Table1[[#This Row],[Price]]&gt;50,Table1[[#This Row],[Category]]="Footwear"),"High","Low")</f>
        <v>Low</v>
      </c>
      <c r="C64" t="str">
        <f>TEXT(Table1[[#This Row],[Date]],"MMM-YY")</f>
        <v>Mar-25</v>
      </c>
      <c r="D64" s="10" t="str">
        <f>IF(Table1[[#This Row],[profit]]&gt;5000000,"High",IF(Table1[[#This Row],[profit]]&gt;3000000,"Medium","Low"))</f>
        <v>Low</v>
      </c>
      <c r="E64" t="str">
        <f>IF(Table1[[#This Row],[Status]]="Completed","Paid","Not Paid")</f>
        <v>Paid</v>
      </c>
    </row>
    <row r="65" spans="1:5" x14ac:dyDescent="0.25">
      <c r="A65" t="str">
        <f>IF(Table1[[#This Row],[Customer Name]]="Emma Clark","EMMA CLARK",Table1[[#This Row],[Customer Name]])</f>
        <v>Emily Johnson</v>
      </c>
      <c r="B65" t="str">
        <f>IF(AND(Table1[[#This Row],[Price]]&gt;50,Table1[[#This Row],[Category]]="Footwear"),"High","Low")</f>
        <v>Low</v>
      </c>
      <c r="C65" t="str">
        <f>TEXT(Table1[[#This Row],[Date]],"MMM-YY")</f>
        <v>Feb-25</v>
      </c>
      <c r="D65" s="10" t="str">
        <f>IF(Table1[[#This Row],[profit]]&gt;5000000,"High",IF(Table1[[#This Row],[profit]]&gt;3000000,"Medium","Low"))</f>
        <v>High</v>
      </c>
      <c r="E65" t="str">
        <f>IF(Table1[[#This Row],[Status]]="Completed","Paid","Not Paid")</f>
        <v>Paid</v>
      </c>
    </row>
    <row r="66" spans="1:5" x14ac:dyDescent="0.25">
      <c r="A66" t="str">
        <f>IF(Table1[[#This Row],[Customer Name]]="Emma Clark","EMMA CLARK",Table1[[#This Row],[Customer Name]])</f>
        <v>EMMA CLARK</v>
      </c>
      <c r="B66" t="str">
        <f>IF(AND(Table1[[#This Row],[Price]]&gt;50,Table1[[#This Row],[Category]]="Footwear"),"High","Low")</f>
        <v>Low</v>
      </c>
      <c r="C66" t="str">
        <f>TEXT(Table1[[#This Row],[Date]],"MMM-YY")</f>
        <v>Mar-25</v>
      </c>
      <c r="D66" s="10" t="str">
        <f>IF(Table1[[#This Row],[profit]]&gt;5000000,"High",IF(Table1[[#This Row],[profit]]&gt;3000000,"Medium","Low"))</f>
        <v>Low</v>
      </c>
      <c r="E66" t="str">
        <f>IF(Table1[[#This Row],[Status]]="Completed","Paid","Not Paid")</f>
        <v>Paid</v>
      </c>
    </row>
    <row r="67" spans="1:5" x14ac:dyDescent="0.25">
      <c r="A67" t="str">
        <f>IF(Table1[[#This Row],[Customer Name]]="Emma Clark","EMMA CLARK",Table1[[#This Row],[Customer Name]])</f>
        <v>Michael Brown</v>
      </c>
      <c r="B67" t="str">
        <f>IF(AND(Table1[[#This Row],[Price]]&gt;50,Table1[[#This Row],[Category]]="Footwear"),"High","Low")</f>
        <v>Low</v>
      </c>
      <c r="C67" t="str">
        <f>TEXT(Table1[[#This Row],[Date]],"MMM-YY")</f>
        <v>Mar-25</v>
      </c>
      <c r="D67" s="10" t="str">
        <f>IF(Table1[[#This Row],[profit]]&gt;5000000,"High",IF(Table1[[#This Row],[profit]]&gt;3000000,"Medium","Low"))</f>
        <v>Low</v>
      </c>
      <c r="E67" t="str">
        <f>IF(Table1[[#This Row],[Status]]="Completed","Paid","Not Paid")</f>
        <v>Not Paid</v>
      </c>
    </row>
    <row r="68" spans="1:5" x14ac:dyDescent="0.25">
      <c r="A68" t="str">
        <f>IF(Table1[[#This Row],[Customer Name]]="Emma Clark","EMMA CLARK",Table1[[#This Row],[Customer Name]])</f>
        <v>Chris White</v>
      </c>
      <c r="B68" t="str">
        <f>IF(AND(Table1[[#This Row],[Price]]&gt;50,Table1[[#This Row],[Category]]="Footwear"),"High","Low")</f>
        <v>Low</v>
      </c>
      <c r="C68" t="str">
        <f>TEXT(Table1[[#This Row],[Date]],"MMM-YY")</f>
        <v>Mar-25</v>
      </c>
      <c r="D68" s="10" t="str">
        <f>IF(Table1[[#This Row],[profit]]&gt;5000000,"High",IF(Table1[[#This Row],[profit]]&gt;3000000,"Medium","Low"))</f>
        <v>Low</v>
      </c>
      <c r="E68" t="str">
        <f>IF(Table1[[#This Row],[Status]]="Completed","Paid","Not Paid")</f>
        <v>Not Paid</v>
      </c>
    </row>
    <row r="69" spans="1:5" x14ac:dyDescent="0.25">
      <c r="A69" t="str">
        <f>IF(Table1[[#This Row],[Customer Name]]="Emma Clark","EMMA CLARK",Table1[[#This Row],[Customer Name]])</f>
        <v>David Lee</v>
      </c>
      <c r="B69" t="str">
        <f>IF(AND(Table1[[#This Row],[Price]]&gt;50,Table1[[#This Row],[Category]]="Footwear"),"High","Low")</f>
        <v>Low</v>
      </c>
      <c r="C69" t="str">
        <f>TEXT(Table1[[#This Row],[Date]],"MMM-YY")</f>
        <v>Feb-25</v>
      </c>
      <c r="D69" s="10" t="str">
        <f>IF(Table1[[#This Row],[profit]]&gt;5000000,"High",IF(Table1[[#This Row],[profit]]&gt;3000000,"Medium","Low"))</f>
        <v>Medium</v>
      </c>
      <c r="E69" t="str">
        <f>IF(Table1[[#This Row],[Status]]="Completed","Paid","Not Paid")</f>
        <v>Paid</v>
      </c>
    </row>
    <row r="70" spans="1:5" x14ac:dyDescent="0.25">
      <c r="A70" t="str">
        <f>IF(Table1[[#This Row],[Customer Name]]="Emma Clark","EMMA CLARK",Table1[[#This Row],[Customer Name]])</f>
        <v>David Lee</v>
      </c>
      <c r="B70" t="str">
        <f>IF(AND(Table1[[#This Row],[Price]]&gt;50,Table1[[#This Row],[Category]]="Footwear"),"High","Low")</f>
        <v>Low</v>
      </c>
      <c r="C70" t="str">
        <f>TEXT(Table1[[#This Row],[Date]],"MMM-YY")</f>
        <v>Feb-25</v>
      </c>
      <c r="D70" s="10" t="str">
        <f>IF(Table1[[#This Row],[profit]]&gt;5000000,"High",IF(Table1[[#This Row],[profit]]&gt;3000000,"Medium","Low"))</f>
        <v>Low</v>
      </c>
      <c r="E70" t="str">
        <f>IF(Table1[[#This Row],[Status]]="Completed","Paid","Not Paid")</f>
        <v>Not Paid</v>
      </c>
    </row>
    <row r="71" spans="1:5" x14ac:dyDescent="0.25">
      <c r="A71" t="str">
        <f>IF(Table1[[#This Row],[Customer Name]]="Emma Clark","EMMA CLARK",Table1[[#This Row],[Customer Name]])</f>
        <v>Emily Johnson</v>
      </c>
      <c r="B71" t="str">
        <f>IF(AND(Table1[[#This Row],[Price]]&gt;50,Table1[[#This Row],[Category]]="Footwear"),"High","Low")</f>
        <v>Low</v>
      </c>
      <c r="C71" t="str">
        <f>TEXT(Table1[[#This Row],[Date]],"MMM-YY")</f>
        <v>Mar-25</v>
      </c>
      <c r="D71" s="10" t="str">
        <f>IF(Table1[[#This Row],[profit]]&gt;5000000,"High",IF(Table1[[#This Row],[profit]]&gt;3000000,"Medium","Low"))</f>
        <v>Medium</v>
      </c>
      <c r="E71" t="str">
        <f>IF(Table1[[#This Row],[Status]]="Completed","Paid","Not Paid")</f>
        <v>Paid</v>
      </c>
    </row>
    <row r="72" spans="1:5" x14ac:dyDescent="0.25">
      <c r="A72" t="str">
        <f>IF(Table1[[#This Row],[Customer Name]]="Emma Clark","EMMA CLARK",Table1[[#This Row],[Customer Name]])</f>
        <v>John Doe</v>
      </c>
      <c r="B72" t="str">
        <f>IF(AND(Table1[[#This Row],[Price]]&gt;50,Table1[[#This Row],[Category]]="Footwear"),"High","Low")</f>
        <v>Low</v>
      </c>
      <c r="C72" t="str">
        <f>TEXT(Table1[[#This Row],[Date]],"MMM-YY")</f>
        <v>Mar-25</v>
      </c>
      <c r="D72" s="10" t="str">
        <f>IF(Table1[[#This Row],[profit]]&gt;5000000,"High",IF(Table1[[#This Row],[profit]]&gt;3000000,"Medium","Low"))</f>
        <v>Low</v>
      </c>
      <c r="E72" t="str">
        <f>IF(Table1[[#This Row],[Status]]="Completed","Paid","Not Paid")</f>
        <v>Not Paid</v>
      </c>
    </row>
    <row r="73" spans="1:5" x14ac:dyDescent="0.25">
      <c r="A73" t="str">
        <f>IF(Table1[[#This Row],[Customer Name]]="Emma Clark","EMMA CLARK",Table1[[#This Row],[Customer Name]])</f>
        <v>Daniel Harris</v>
      </c>
      <c r="B73" t="str">
        <f>IF(AND(Table1[[#This Row],[Price]]&gt;50,Table1[[#This Row],[Category]]="Footwear"),"High","Low")</f>
        <v>Low</v>
      </c>
      <c r="C73" t="str">
        <f>TEXT(Table1[[#This Row],[Date]],"MMM-YY")</f>
        <v>Mar-25</v>
      </c>
      <c r="D73" s="10" t="str">
        <f>IF(Table1[[#This Row],[profit]]&gt;5000000,"High",IF(Table1[[#This Row],[profit]]&gt;3000000,"Medium","Low"))</f>
        <v>Low</v>
      </c>
      <c r="E73" t="str">
        <f>IF(Table1[[#This Row],[Status]]="Completed","Paid","Not Paid")</f>
        <v>Not Paid</v>
      </c>
    </row>
    <row r="74" spans="1:5" x14ac:dyDescent="0.25">
      <c r="A74" t="str">
        <f>IF(Table1[[#This Row],[Customer Name]]="Emma Clark","EMMA CLARK",Table1[[#This Row],[Customer Name]])</f>
        <v>Emily Johnson</v>
      </c>
      <c r="B74" t="str">
        <f>IF(AND(Table1[[#This Row],[Price]]&gt;50,Table1[[#This Row],[Category]]="Footwear"),"High","Low")</f>
        <v>Low</v>
      </c>
      <c r="C74" t="str">
        <f>TEXT(Table1[[#This Row],[Date]],"MMM-YY")</f>
        <v>Feb-25</v>
      </c>
      <c r="D74" s="10" t="str">
        <f>IF(Table1[[#This Row],[profit]]&gt;5000000,"High",IF(Table1[[#This Row],[profit]]&gt;3000000,"Medium","Low"))</f>
        <v>Low</v>
      </c>
      <c r="E74" t="str">
        <f>IF(Table1[[#This Row],[Status]]="Completed","Paid","Not Paid")</f>
        <v>Paid</v>
      </c>
    </row>
    <row r="75" spans="1:5" x14ac:dyDescent="0.25">
      <c r="A75" t="str">
        <f>IF(Table1[[#This Row],[Customer Name]]="Emma Clark","EMMA CLARK",Table1[[#This Row],[Customer Name]])</f>
        <v>Jane Smith</v>
      </c>
      <c r="B75" t="str">
        <f>IF(AND(Table1[[#This Row],[Price]]&gt;50,Table1[[#This Row],[Category]]="Footwear"),"High","Low")</f>
        <v>Low</v>
      </c>
      <c r="C75" t="str">
        <f>TEXT(Table1[[#This Row],[Date]],"MMM-YY")</f>
        <v>Mar-25</v>
      </c>
      <c r="D75" s="10" t="str">
        <f>IF(Table1[[#This Row],[profit]]&gt;5000000,"High",IF(Table1[[#This Row],[profit]]&gt;3000000,"Medium","Low"))</f>
        <v>Low</v>
      </c>
      <c r="E75" t="str">
        <f>IF(Table1[[#This Row],[Status]]="Completed","Paid","Not Paid")</f>
        <v>Not Paid</v>
      </c>
    </row>
    <row r="76" spans="1:5" x14ac:dyDescent="0.25">
      <c r="A76" t="str">
        <f>IF(Table1[[#This Row],[Customer Name]]="Emma Clark","EMMA CLARK",Table1[[#This Row],[Customer Name]])</f>
        <v>Daniel Harris</v>
      </c>
      <c r="B76" t="str">
        <f>IF(AND(Table1[[#This Row],[Price]]&gt;50,Table1[[#This Row],[Category]]="Footwear"),"High","Low")</f>
        <v>Low</v>
      </c>
      <c r="C76" t="str">
        <f>TEXT(Table1[[#This Row],[Date]],"MMM-YY")</f>
        <v>Feb-25</v>
      </c>
      <c r="D76" s="10" t="str">
        <f>IF(Table1[[#This Row],[profit]]&gt;5000000,"High",IF(Table1[[#This Row],[profit]]&gt;3000000,"Medium","Low"))</f>
        <v>Low</v>
      </c>
      <c r="E76" t="str">
        <f>IF(Table1[[#This Row],[Status]]="Completed","Paid","Not Paid")</f>
        <v>Paid</v>
      </c>
    </row>
    <row r="77" spans="1:5" x14ac:dyDescent="0.25">
      <c r="A77" t="str">
        <f>IF(Table1[[#This Row],[Customer Name]]="Emma Clark","EMMA CLARK",Table1[[#This Row],[Customer Name]])</f>
        <v>Jane Smith</v>
      </c>
      <c r="B77" t="str">
        <f>IF(AND(Table1[[#This Row],[Price]]&gt;50,Table1[[#This Row],[Category]]="Footwear"),"High","Low")</f>
        <v>Low</v>
      </c>
      <c r="C77" t="str">
        <f>TEXT(Table1[[#This Row],[Date]],"MMM-YY")</f>
        <v>Feb-25</v>
      </c>
      <c r="D77" s="10" t="str">
        <f>IF(Table1[[#This Row],[profit]]&gt;5000000,"High",IF(Table1[[#This Row],[profit]]&gt;3000000,"Medium","Low"))</f>
        <v>Low</v>
      </c>
      <c r="E77" t="str">
        <f>IF(Table1[[#This Row],[Status]]="Completed","Paid","Not Paid")</f>
        <v>Not Paid</v>
      </c>
    </row>
    <row r="78" spans="1:5" x14ac:dyDescent="0.25">
      <c r="A78" t="str">
        <f>IF(Table1[[#This Row],[Customer Name]]="Emma Clark","EMMA CLARK",Table1[[#This Row],[Customer Name]])</f>
        <v>Daniel Harris</v>
      </c>
      <c r="B78" t="str">
        <f>IF(AND(Table1[[#This Row],[Price]]&gt;50,Table1[[#This Row],[Category]]="Footwear"),"High","Low")</f>
        <v>Low</v>
      </c>
      <c r="C78" t="str">
        <f>TEXT(Table1[[#This Row],[Date]],"MMM-YY")</f>
        <v>Mar-25</v>
      </c>
      <c r="D78" s="10" t="str">
        <f>IF(Table1[[#This Row],[profit]]&gt;5000000,"High",IF(Table1[[#This Row],[profit]]&gt;3000000,"Medium","Low"))</f>
        <v>High</v>
      </c>
      <c r="E78" t="str">
        <f>IF(Table1[[#This Row],[Status]]="Completed","Paid","Not Paid")</f>
        <v>Not Paid</v>
      </c>
    </row>
    <row r="79" spans="1:5" x14ac:dyDescent="0.25">
      <c r="A79" t="str">
        <f>IF(Table1[[#This Row],[Customer Name]]="Emma Clark","EMMA CLARK",Table1[[#This Row],[Customer Name]])</f>
        <v>EMMA CLARK</v>
      </c>
      <c r="B79" t="str">
        <f>IF(AND(Table1[[#This Row],[Price]]&gt;50,Table1[[#This Row],[Category]]="Footwear"),"High","Low")</f>
        <v>Low</v>
      </c>
      <c r="C79" t="str">
        <f>TEXT(Table1[[#This Row],[Date]],"MMM-YY")</f>
        <v>Mar-25</v>
      </c>
      <c r="D79" s="10" t="str">
        <f>IF(Table1[[#This Row],[profit]]&gt;5000000,"High",IF(Table1[[#This Row],[profit]]&gt;3000000,"Medium","Low"))</f>
        <v>High</v>
      </c>
      <c r="E79" t="str">
        <f>IF(Table1[[#This Row],[Status]]="Completed","Paid","Not Paid")</f>
        <v>Not Paid</v>
      </c>
    </row>
    <row r="80" spans="1:5" x14ac:dyDescent="0.25">
      <c r="A80" t="str">
        <f>IF(Table1[[#This Row],[Customer Name]]="Emma Clark","EMMA CLARK",Table1[[#This Row],[Customer Name]])</f>
        <v>Emily Johnson</v>
      </c>
      <c r="B80" t="str">
        <f>IF(AND(Table1[[#This Row],[Price]]&gt;50,Table1[[#This Row],[Category]]="Footwear"),"High","Low")</f>
        <v>High</v>
      </c>
      <c r="C80" t="str">
        <f>TEXT(Table1[[#This Row],[Date]],"MMM-YY")</f>
        <v>Mar-25</v>
      </c>
      <c r="D80" s="10" t="str">
        <f>IF(Table1[[#This Row],[profit]]&gt;5000000,"High",IF(Table1[[#This Row],[profit]]&gt;3000000,"Medium","Low"))</f>
        <v>Low</v>
      </c>
      <c r="E80" t="str">
        <f>IF(Table1[[#This Row],[Status]]="Completed","Paid","Not Paid")</f>
        <v>Paid</v>
      </c>
    </row>
    <row r="81" spans="1:5" x14ac:dyDescent="0.25">
      <c r="A81" t="str">
        <f>IF(Table1[[#This Row],[Customer Name]]="Emma Clark","EMMA CLARK",Table1[[#This Row],[Customer Name]])</f>
        <v>Sophia Miller</v>
      </c>
      <c r="B81" t="str">
        <f>IF(AND(Table1[[#This Row],[Price]]&gt;50,Table1[[#This Row],[Category]]="Footwear"),"High","Low")</f>
        <v>High</v>
      </c>
      <c r="C81" t="str">
        <f>TEXT(Table1[[#This Row],[Date]],"MMM-YY")</f>
        <v>Feb-25</v>
      </c>
      <c r="D81" s="10" t="str">
        <f>IF(Table1[[#This Row],[profit]]&gt;5000000,"High",IF(Table1[[#This Row],[profit]]&gt;3000000,"Medium","Low"))</f>
        <v>Medium</v>
      </c>
      <c r="E81" t="str">
        <f>IF(Table1[[#This Row],[Status]]="Completed","Paid","Not Paid")</f>
        <v>Paid</v>
      </c>
    </row>
    <row r="82" spans="1:5" x14ac:dyDescent="0.25">
      <c r="A82" t="str">
        <f>IF(Table1[[#This Row],[Customer Name]]="Emma Clark","EMMA CLARK",Table1[[#This Row],[Customer Name]])</f>
        <v>Michael Brown</v>
      </c>
      <c r="B82" t="str">
        <f>IF(AND(Table1[[#This Row],[Price]]&gt;50,Table1[[#This Row],[Category]]="Footwear"),"High","Low")</f>
        <v>Low</v>
      </c>
      <c r="C82" t="str">
        <f>TEXT(Table1[[#This Row],[Date]],"MMM-YY")</f>
        <v>Feb-25</v>
      </c>
      <c r="D82" s="10" t="str">
        <f>IF(Table1[[#This Row],[profit]]&gt;5000000,"High",IF(Table1[[#This Row],[profit]]&gt;3000000,"Medium","Low"))</f>
        <v>High</v>
      </c>
      <c r="E82" t="str">
        <f>IF(Table1[[#This Row],[Status]]="Completed","Paid","Not Paid")</f>
        <v>Paid</v>
      </c>
    </row>
    <row r="83" spans="1:5" x14ac:dyDescent="0.25">
      <c r="A83" t="str">
        <f>IF(Table1[[#This Row],[Customer Name]]="Emma Clark","EMMA CLARK",Table1[[#This Row],[Customer Name]])</f>
        <v>Jane Smith</v>
      </c>
      <c r="B83" t="str">
        <f>IF(AND(Table1[[#This Row],[Price]]&gt;50,Table1[[#This Row],[Category]]="Footwear"),"High","Low")</f>
        <v>Low</v>
      </c>
      <c r="C83" t="str">
        <f>TEXT(Table1[[#This Row],[Date]],"MMM-YY")</f>
        <v>Feb-25</v>
      </c>
      <c r="D83" s="10" t="str">
        <f>IF(Table1[[#This Row],[profit]]&gt;5000000,"High",IF(Table1[[#This Row],[profit]]&gt;3000000,"Medium","Low"))</f>
        <v>Low</v>
      </c>
      <c r="E83" t="str">
        <f>IF(Table1[[#This Row],[Status]]="Completed","Paid","Not Paid")</f>
        <v>Not Paid</v>
      </c>
    </row>
    <row r="84" spans="1:5" x14ac:dyDescent="0.25">
      <c r="A84" t="str">
        <f>IF(Table1[[#This Row],[Customer Name]]="Emma Clark","EMMA CLARK",Table1[[#This Row],[Customer Name]])</f>
        <v>EMMA CLARK</v>
      </c>
      <c r="B84" t="str">
        <f>IF(AND(Table1[[#This Row],[Price]]&gt;50,Table1[[#This Row],[Category]]="Footwear"),"High","Low")</f>
        <v>Low</v>
      </c>
      <c r="C84" t="str">
        <f>TEXT(Table1[[#This Row],[Date]],"MMM-YY")</f>
        <v>Feb-25</v>
      </c>
      <c r="D84" s="10" t="str">
        <f>IF(Table1[[#This Row],[profit]]&gt;5000000,"High",IF(Table1[[#This Row],[profit]]&gt;3000000,"Medium","Low"))</f>
        <v>Medium</v>
      </c>
      <c r="E84" t="str">
        <f>IF(Table1[[#This Row],[Status]]="Completed","Paid","Not Paid")</f>
        <v>Not Paid</v>
      </c>
    </row>
    <row r="85" spans="1:5" x14ac:dyDescent="0.25">
      <c r="A85" t="str">
        <f>IF(Table1[[#This Row],[Customer Name]]="Emma Clark","EMMA CLARK",Table1[[#This Row],[Customer Name]])</f>
        <v>Olivia Wilson</v>
      </c>
      <c r="B85" t="str">
        <f>IF(AND(Table1[[#This Row],[Price]]&gt;50,Table1[[#This Row],[Category]]="Footwear"),"High","Low")</f>
        <v>Low</v>
      </c>
      <c r="C85" t="str">
        <f>TEXT(Table1[[#This Row],[Date]],"MMM-YY")</f>
        <v>Feb-25</v>
      </c>
      <c r="D85" s="10" t="str">
        <f>IF(Table1[[#This Row],[profit]]&gt;5000000,"High",IF(Table1[[#This Row],[profit]]&gt;3000000,"Medium","Low"))</f>
        <v>Medium</v>
      </c>
      <c r="E85" t="str">
        <f>IF(Table1[[#This Row],[Status]]="Completed","Paid","Not Paid")</f>
        <v>Paid</v>
      </c>
    </row>
    <row r="86" spans="1:5" x14ac:dyDescent="0.25">
      <c r="A86" t="str">
        <f>IF(Table1[[#This Row],[Customer Name]]="Emma Clark","EMMA CLARK",Table1[[#This Row],[Customer Name]])</f>
        <v>Michael Brown</v>
      </c>
      <c r="B86" t="str">
        <f>IF(AND(Table1[[#This Row],[Price]]&gt;50,Table1[[#This Row],[Category]]="Footwear"),"High","Low")</f>
        <v>Low</v>
      </c>
      <c r="C86" t="str">
        <f>TEXT(Table1[[#This Row],[Date]],"MMM-YY")</f>
        <v>Feb-25</v>
      </c>
      <c r="D86" s="10" t="str">
        <f>IF(Table1[[#This Row],[profit]]&gt;5000000,"High",IF(Table1[[#This Row],[profit]]&gt;3000000,"Medium","Low"))</f>
        <v>High</v>
      </c>
      <c r="E86" t="str">
        <f>IF(Table1[[#This Row],[Status]]="Completed","Paid","Not Paid")</f>
        <v>Not Paid</v>
      </c>
    </row>
    <row r="87" spans="1:5" x14ac:dyDescent="0.25">
      <c r="A87" t="str">
        <f>IF(Table1[[#This Row],[Customer Name]]="Emma Clark","EMMA CLARK",Table1[[#This Row],[Customer Name]])</f>
        <v>Jane Smith</v>
      </c>
      <c r="B87" t="str">
        <f>IF(AND(Table1[[#This Row],[Price]]&gt;50,Table1[[#This Row],[Category]]="Footwear"),"High","Low")</f>
        <v>Low</v>
      </c>
      <c r="C87" t="str">
        <f>TEXT(Table1[[#This Row],[Date]],"MMM-YY")</f>
        <v>Feb-25</v>
      </c>
      <c r="D87" s="10" t="str">
        <f>IF(Table1[[#This Row],[profit]]&gt;5000000,"High",IF(Table1[[#This Row],[profit]]&gt;3000000,"Medium","Low"))</f>
        <v>High</v>
      </c>
      <c r="E87" t="str">
        <f>IF(Table1[[#This Row],[Status]]="Completed","Paid","Not Paid")</f>
        <v>Paid</v>
      </c>
    </row>
    <row r="88" spans="1:5" x14ac:dyDescent="0.25">
      <c r="A88" t="str">
        <f>IF(Table1[[#This Row],[Customer Name]]="Emma Clark","EMMA CLARK",Table1[[#This Row],[Customer Name]])</f>
        <v>EMMA CLARK</v>
      </c>
      <c r="B88" t="str">
        <f>IF(AND(Table1[[#This Row],[Price]]&gt;50,Table1[[#This Row],[Category]]="Footwear"),"High","Low")</f>
        <v>High</v>
      </c>
      <c r="C88" t="str">
        <f>TEXT(Table1[[#This Row],[Date]],"MMM-YY")</f>
        <v>Mar-25</v>
      </c>
      <c r="D88" s="10" t="str">
        <f>IF(Table1[[#This Row],[profit]]&gt;5000000,"High",IF(Table1[[#This Row],[profit]]&gt;3000000,"Medium","Low"))</f>
        <v>Low</v>
      </c>
      <c r="E88" t="str">
        <f>IF(Table1[[#This Row],[Status]]="Completed","Paid","Not Paid")</f>
        <v>Not Paid</v>
      </c>
    </row>
    <row r="89" spans="1:5" x14ac:dyDescent="0.25">
      <c r="A89" t="str">
        <f>IF(Table1[[#This Row],[Customer Name]]="Emma Clark","EMMA CLARK",Table1[[#This Row],[Customer Name]])</f>
        <v>Chris White</v>
      </c>
      <c r="B89" t="str">
        <f>IF(AND(Table1[[#This Row],[Price]]&gt;50,Table1[[#This Row],[Category]]="Footwear"),"High","Low")</f>
        <v>Low</v>
      </c>
      <c r="C89" t="str">
        <f>TEXT(Table1[[#This Row],[Date]],"MMM-YY")</f>
        <v>Feb-25</v>
      </c>
      <c r="D89" s="10" t="str">
        <f>IF(Table1[[#This Row],[profit]]&gt;5000000,"High",IF(Table1[[#This Row],[profit]]&gt;3000000,"Medium","Low"))</f>
        <v>Medium</v>
      </c>
      <c r="E89" t="str">
        <f>IF(Table1[[#This Row],[Status]]="Completed","Paid","Not Paid")</f>
        <v>Paid</v>
      </c>
    </row>
    <row r="90" spans="1:5" x14ac:dyDescent="0.25">
      <c r="A90" t="str">
        <f>IF(Table1[[#This Row],[Customer Name]]="Emma Clark","EMMA CLARK",Table1[[#This Row],[Customer Name]])</f>
        <v>EMMA CLARK</v>
      </c>
      <c r="B90" t="str">
        <f>IF(AND(Table1[[#This Row],[Price]]&gt;50,Table1[[#This Row],[Category]]="Footwear"),"High","Low")</f>
        <v>High</v>
      </c>
      <c r="C90" t="str">
        <f>TEXT(Table1[[#This Row],[Date]],"MMM-YY")</f>
        <v>Mar-25</v>
      </c>
      <c r="D90" s="10" t="str">
        <f>IF(Table1[[#This Row],[profit]]&gt;5000000,"High",IF(Table1[[#This Row],[profit]]&gt;3000000,"Medium","Low"))</f>
        <v>Low</v>
      </c>
      <c r="E90" t="str">
        <f>IF(Table1[[#This Row],[Status]]="Completed","Paid","Not Paid")</f>
        <v>Not Paid</v>
      </c>
    </row>
    <row r="91" spans="1:5" x14ac:dyDescent="0.25">
      <c r="A91" t="str">
        <f>IF(Table1[[#This Row],[Customer Name]]="Emma Clark","EMMA CLARK",Table1[[#This Row],[Customer Name]])</f>
        <v>Emily Johnson</v>
      </c>
      <c r="B91" t="str">
        <f>IF(AND(Table1[[#This Row],[Price]]&gt;50,Table1[[#This Row],[Category]]="Footwear"),"High","Low")</f>
        <v>Low</v>
      </c>
      <c r="C91" t="str">
        <f>TEXT(Table1[[#This Row],[Date]],"MMM-YY")</f>
        <v>Mar-25</v>
      </c>
      <c r="D91" s="10" t="str">
        <f>IF(Table1[[#This Row],[profit]]&gt;5000000,"High",IF(Table1[[#This Row],[profit]]&gt;3000000,"Medium","Low"))</f>
        <v>Low</v>
      </c>
      <c r="E91" t="str">
        <f>IF(Table1[[#This Row],[Status]]="Completed","Paid","Not Paid")</f>
        <v>Not Paid</v>
      </c>
    </row>
    <row r="92" spans="1:5" x14ac:dyDescent="0.25">
      <c r="A92" t="str">
        <f>IF(Table1[[#This Row],[Customer Name]]="Emma Clark","EMMA CLARK",Table1[[#This Row],[Customer Name]])</f>
        <v>Daniel Harris</v>
      </c>
      <c r="B92" t="str">
        <f>IF(AND(Table1[[#This Row],[Price]]&gt;50,Table1[[#This Row],[Category]]="Footwear"),"High","Low")</f>
        <v>Low</v>
      </c>
      <c r="C92" t="str">
        <f>TEXT(Table1[[#This Row],[Date]],"MMM-YY")</f>
        <v>Feb-25</v>
      </c>
      <c r="D92" s="10" t="str">
        <f>IF(Table1[[#This Row],[profit]]&gt;5000000,"High",IF(Table1[[#This Row],[profit]]&gt;3000000,"Medium","Low"))</f>
        <v>Low</v>
      </c>
      <c r="E92" t="str">
        <f>IF(Table1[[#This Row],[Status]]="Completed","Paid","Not Paid")</f>
        <v>Not Paid</v>
      </c>
    </row>
    <row r="93" spans="1:5" x14ac:dyDescent="0.25">
      <c r="A93" t="str">
        <f>IF(Table1[[#This Row],[Customer Name]]="Emma Clark","EMMA CLARK",Table1[[#This Row],[Customer Name]])</f>
        <v>Olivia Wilson</v>
      </c>
      <c r="B93" t="str">
        <f>IF(AND(Table1[[#This Row],[Price]]&gt;50,Table1[[#This Row],[Category]]="Footwear"),"High","Low")</f>
        <v>Low</v>
      </c>
      <c r="C93" t="str">
        <f>TEXT(Table1[[#This Row],[Date]],"MMM-YY")</f>
        <v>Mar-25</v>
      </c>
      <c r="D93" s="10" t="str">
        <f>IF(Table1[[#This Row],[profit]]&gt;5000000,"High",IF(Table1[[#This Row],[profit]]&gt;3000000,"Medium","Low"))</f>
        <v>Medium</v>
      </c>
      <c r="E93" t="str">
        <f>IF(Table1[[#This Row],[Status]]="Completed","Paid","Not Paid")</f>
        <v>Paid</v>
      </c>
    </row>
    <row r="94" spans="1:5" x14ac:dyDescent="0.25">
      <c r="A94" t="str">
        <f>IF(Table1[[#This Row],[Customer Name]]="Emma Clark","EMMA CLARK",Table1[[#This Row],[Customer Name]])</f>
        <v>David Lee</v>
      </c>
      <c r="B94" t="str">
        <f>IF(AND(Table1[[#This Row],[Price]]&gt;50,Table1[[#This Row],[Category]]="Footwear"),"High","Low")</f>
        <v>Low</v>
      </c>
      <c r="C94" t="str">
        <f>TEXT(Table1[[#This Row],[Date]],"MMM-YY")</f>
        <v>Mar-25</v>
      </c>
      <c r="D94" s="10" t="str">
        <f>IF(Table1[[#This Row],[profit]]&gt;5000000,"High",IF(Table1[[#This Row],[profit]]&gt;3000000,"Medium","Low"))</f>
        <v>High</v>
      </c>
      <c r="E94" t="str">
        <f>IF(Table1[[#This Row],[Status]]="Completed","Paid","Not Paid")</f>
        <v>Paid</v>
      </c>
    </row>
    <row r="95" spans="1:5" x14ac:dyDescent="0.25">
      <c r="A95" t="str">
        <f>IF(Table1[[#This Row],[Customer Name]]="Emma Clark","EMMA CLARK",Table1[[#This Row],[Customer Name]])</f>
        <v>Daniel Harris</v>
      </c>
      <c r="B95" t="str">
        <f>IF(AND(Table1[[#This Row],[Price]]&gt;50,Table1[[#This Row],[Category]]="Footwear"),"High","Low")</f>
        <v>Low</v>
      </c>
      <c r="C95" t="str">
        <f>TEXT(Table1[[#This Row],[Date]],"MMM-YY")</f>
        <v>Mar-25</v>
      </c>
      <c r="D95" s="10" t="str">
        <f>IF(Table1[[#This Row],[profit]]&gt;5000000,"High",IF(Table1[[#This Row],[profit]]&gt;3000000,"Medium","Low"))</f>
        <v>High</v>
      </c>
      <c r="E95" t="str">
        <f>IF(Table1[[#This Row],[Status]]="Completed","Paid","Not Paid")</f>
        <v>Paid</v>
      </c>
    </row>
    <row r="96" spans="1:5" x14ac:dyDescent="0.25">
      <c r="A96" t="str">
        <f>IF(Table1[[#This Row],[Customer Name]]="Emma Clark","EMMA CLARK",Table1[[#This Row],[Customer Name]])</f>
        <v>Chris White</v>
      </c>
      <c r="B96" t="str">
        <f>IF(AND(Table1[[#This Row],[Price]]&gt;50,Table1[[#This Row],[Category]]="Footwear"),"High","Low")</f>
        <v>Low</v>
      </c>
      <c r="C96" t="str">
        <f>TEXT(Table1[[#This Row],[Date]],"MMM-YY")</f>
        <v>Feb-25</v>
      </c>
      <c r="D96" s="10" t="str">
        <f>IF(Table1[[#This Row],[profit]]&gt;5000000,"High",IF(Table1[[#This Row],[profit]]&gt;3000000,"Medium","Low"))</f>
        <v>High</v>
      </c>
      <c r="E96" t="str">
        <f>IF(Table1[[#This Row],[Status]]="Completed","Paid","Not Paid")</f>
        <v>Not Paid</v>
      </c>
    </row>
    <row r="97" spans="1:5" x14ac:dyDescent="0.25">
      <c r="A97" t="str">
        <f>IF(Table1[[#This Row],[Customer Name]]="Emma Clark","EMMA CLARK",Table1[[#This Row],[Customer Name]])</f>
        <v>Jane Smith</v>
      </c>
      <c r="B97" t="str">
        <f>IF(AND(Table1[[#This Row],[Price]]&gt;50,Table1[[#This Row],[Category]]="Footwear"),"High","Low")</f>
        <v>Low</v>
      </c>
      <c r="C97" t="str">
        <f>TEXT(Table1[[#This Row],[Date]],"MMM-YY")</f>
        <v>Mar-25</v>
      </c>
      <c r="D97" s="10" t="str">
        <f>IF(Table1[[#This Row],[profit]]&gt;5000000,"High",IF(Table1[[#This Row],[profit]]&gt;3000000,"Medium","Low"))</f>
        <v>Low</v>
      </c>
      <c r="E97" t="str">
        <f>IF(Table1[[#This Row],[Status]]="Completed","Paid","Not Paid")</f>
        <v>Not Paid</v>
      </c>
    </row>
    <row r="98" spans="1:5" x14ac:dyDescent="0.25">
      <c r="A98" t="str">
        <f>IF(Table1[[#This Row],[Customer Name]]="Emma Clark","EMMA CLARK",Table1[[#This Row],[Customer Name]])</f>
        <v>Olivia Wilson</v>
      </c>
      <c r="B98" t="str">
        <f>IF(AND(Table1[[#This Row],[Price]]&gt;50,Table1[[#This Row],[Category]]="Footwear"),"High","Low")</f>
        <v>Low</v>
      </c>
      <c r="C98" t="str">
        <f>TEXT(Table1[[#This Row],[Date]],"MMM-YY")</f>
        <v>Mar-25</v>
      </c>
      <c r="D98" s="10" t="str">
        <f>IF(Table1[[#This Row],[profit]]&gt;5000000,"High",IF(Table1[[#This Row],[profit]]&gt;3000000,"Medium","Low"))</f>
        <v>Low</v>
      </c>
      <c r="E98" t="str">
        <f>IF(Table1[[#This Row],[Status]]="Completed","Paid","Not Paid")</f>
        <v>Paid</v>
      </c>
    </row>
    <row r="99" spans="1:5" x14ac:dyDescent="0.25">
      <c r="A99" t="str">
        <f>IF(Table1[[#This Row],[Customer Name]]="Emma Clark","EMMA CLARK",Table1[[#This Row],[Customer Name]])</f>
        <v>Chris White</v>
      </c>
      <c r="B99" t="str">
        <f>IF(AND(Table1[[#This Row],[Price]]&gt;50,Table1[[#This Row],[Category]]="Footwear"),"High","Low")</f>
        <v>Low</v>
      </c>
      <c r="C99" t="str">
        <f>TEXT(Table1[[#This Row],[Date]],"MMM-YY")</f>
        <v>Feb-25</v>
      </c>
      <c r="D99" s="10" t="str">
        <f>IF(Table1[[#This Row],[profit]]&gt;5000000,"High",IF(Table1[[#This Row],[profit]]&gt;3000000,"Medium","Low"))</f>
        <v>High</v>
      </c>
      <c r="E99" t="str">
        <f>IF(Table1[[#This Row],[Status]]="Completed","Paid","Not Paid")</f>
        <v>Not Paid</v>
      </c>
    </row>
    <row r="100" spans="1:5" x14ac:dyDescent="0.25">
      <c r="A100" t="str">
        <f>IF(Table1[[#This Row],[Customer Name]]="Emma Clark","EMMA CLARK",Table1[[#This Row],[Customer Name]])</f>
        <v>Michael Brown</v>
      </c>
      <c r="B100" t="str">
        <f>IF(AND(Table1[[#This Row],[Price]]&gt;50,Table1[[#This Row],[Category]]="Footwear"),"High","Low")</f>
        <v>Low</v>
      </c>
      <c r="C100" t="str">
        <f>TEXT(Table1[[#This Row],[Date]],"MMM-YY")</f>
        <v>Feb-25</v>
      </c>
      <c r="D100" s="10" t="str">
        <f>IF(Table1[[#This Row],[profit]]&gt;5000000,"High",IF(Table1[[#This Row],[profit]]&gt;3000000,"Medium","Low"))</f>
        <v>Low</v>
      </c>
      <c r="E100" t="str">
        <f>IF(Table1[[#This Row],[Status]]="Completed","Paid","Not Paid")</f>
        <v>Paid</v>
      </c>
    </row>
    <row r="101" spans="1:5" x14ac:dyDescent="0.25">
      <c r="A101" t="str">
        <f>IF(Table1[[#This Row],[Customer Name]]="Emma Clark","EMMA CLARK",Table1[[#This Row],[Customer Name]])</f>
        <v>Jane Smith</v>
      </c>
      <c r="B101" t="str">
        <f>IF(AND(Table1[[#This Row],[Price]]&gt;50,Table1[[#This Row],[Category]]="Footwear"),"High","Low")</f>
        <v>High</v>
      </c>
      <c r="C101" t="str">
        <f>TEXT(Table1[[#This Row],[Date]],"MMM-YY")</f>
        <v>Feb-25</v>
      </c>
      <c r="D101" s="10" t="str">
        <f>IF(Table1[[#This Row],[profit]]&gt;5000000,"High",IF(Table1[[#This Row],[profit]]&gt;3000000,"Medium","Low"))</f>
        <v>High</v>
      </c>
      <c r="E101" t="str">
        <f>IF(Table1[[#This Row],[Status]]="Completed","Paid","Not Paid")</f>
        <v>Paid</v>
      </c>
    </row>
    <row r="102" spans="1:5" x14ac:dyDescent="0.25">
      <c r="A102" t="str">
        <f>IF(Table1[[#This Row],[Customer Name]]="Emma Clark","EMMA CLARK",Table1[[#This Row],[Customer Name]])</f>
        <v>John Doe</v>
      </c>
      <c r="B102" t="str">
        <f>IF(AND(Table1[[#This Row],[Price]]&gt;50,Table1[[#This Row],[Category]]="Footwear"),"High","Low")</f>
        <v>Low</v>
      </c>
      <c r="C102" t="str">
        <f>TEXT(Table1[[#This Row],[Date]],"MMM-YY")</f>
        <v>Feb-25</v>
      </c>
      <c r="D102" s="10" t="str">
        <f>IF(Table1[[#This Row],[profit]]&gt;5000000,"High",IF(Table1[[#This Row],[profit]]&gt;3000000,"Medium","Low"))</f>
        <v>Medium</v>
      </c>
      <c r="E102" t="str">
        <f>IF(Table1[[#This Row],[Status]]="Completed","Paid","Not Paid")</f>
        <v>Not Paid</v>
      </c>
    </row>
    <row r="103" spans="1:5" x14ac:dyDescent="0.25">
      <c r="A103" t="str">
        <f>IF(Table1[[#This Row],[Customer Name]]="Emma Clark","EMMA CLARK",Table1[[#This Row],[Customer Name]])</f>
        <v>David Lee</v>
      </c>
      <c r="B103" t="str">
        <f>IF(AND(Table1[[#This Row],[Price]]&gt;50,Table1[[#This Row],[Category]]="Footwear"),"High","Low")</f>
        <v>Low</v>
      </c>
      <c r="C103" t="str">
        <f>TEXT(Table1[[#This Row],[Date]],"MMM-YY")</f>
        <v>Feb-25</v>
      </c>
      <c r="D103" s="10" t="str">
        <f>IF(Table1[[#This Row],[profit]]&gt;5000000,"High",IF(Table1[[#This Row],[profit]]&gt;3000000,"Medium","Low"))</f>
        <v>High</v>
      </c>
      <c r="E103" t="str">
        <f>IF(Table1[[#This Row],[Status]]="Completed","Paid","Not Paid")</f>
        <v>Paid</v>
      </c>
    </row>
    <row r="104" spans="1:5" x14ac:dyDescent="0.25">
      <c r="A104" t="str">
        <f>IF(Table1[[#This Row],[Customer Name]]="Emma Clark","EMMA CLARK",Table1[[#This Row],[Customer Name]])</f>
        <v>Michael Brown</v>
      </c>
      <c r="B104" t="str">
        <f>IF(AND(Table1[[#This Row],[Price]]&gt;50,Table1[[#This Row],[Category]]="Footwear"),"High","Low")</f>
        <v>Low</v>
      </c>
      <c r="C104" t="str">
        <f>TEXT(Table1[[#This Row],[Date]],"MMM-YY")</f>
        <v>Mar-25</v>
      </c>
      <c r="D104" s="10" t="str">
        <f>IF(Table1[[#This Row],[profit]]&gt;5000000,"High",IF(Table1[[#This Row],[profit]]&gt;3000000,"Medium","Low"))</f>
        <v>Medium</v>
      </c>
      <c r="E104" t="str">
        <f>IF(Table1[[#This Row],[Status]]="Completed","Paid","Not Paid")</f>
        <v>Not Paid</v>
      </c>
    </row>
    <row r="105" spans="1:5" x14ac:dyDescent="0.25">
      <c r="A105" t="str">
        <f>IF(Table1[[#This Row],[Customer Name]]="Emma Clark","EMMA CLARK",Table1[[#This Row],[Customer Name]])</f>
        <v>Jane Smith</v>
      </c>
      <c r="B105" t="str">
        <f>IF(AND(Table1[[#This Row],[Price]]&gt;50,Table1[[#This Row],[Category]]="Footwear"),"High","Low")</f>
        <v>Low</v>
      </c>
      <c r="C105" t="str">
        <f>TEXT(Table1[[#This Row],[Date]],"MMM-YY")</f>
        <v>Feb-25</v>
      </c>
      <c r="D105" s="10" t="str">
        <f>IF(Table1[[#This Row],[profit]]&gt;5000000,"High",IF(Table1[[#This Row],[profit]]&gt;3000000,"Medium","Low"))</f>
        <v>Low</v>
      </c>
      <c r="E105" t="str">
        <f>IF(Table1[[#This Row],[Status]]="Completed","Paid","Not Paid")</f>
        <v>Not Paid</v>
      </c>
    </row>
    <row r="106" spans="1:5" x14ac:dyDescent="0.25">
      <c r="A106" t="str">
        <f>IF(Table1[[#This Row],[Customer Name]]="Emma Clark","EMMA CLARK",Table1[[#This Row],[Customer Name]])</f>
        <v>Jane Smith</v>
      </c>
      <c r="B106" t="str">
        <f>IF(AND(Table1[[#This Row],[Price]]&gt;50,Table1[[#This Row],[Category]]="Footwear"),"High","Low")</f>
        <v>Low</v>
      </c>
      <c r="C106" t="str">
        <f>TEXT(Table1[[#This Row],[Date]],"MMM-YY")</f>
        <v>Mar-25</v>
      </c>
      <c r="D106" s="10" t="str">
        <f>IF(Table1[[#This Row],[profit]]&gt;5000000,"High",IF(Table1[[#This Row],[profit]]&gt;3000000,"Medium","Low"))</f>
        <v>Medium</v>
      </c>
      <c r="E106" t="str">
        <f>IF(Table1[[#This Row],[Status]]="Completed","Paid","Not Paid")</f>
        <v>Not Paid</v>
      </c>
    </row>
    <row r="107" spans="1:5" x14ac:dyDescent="0.25">
      <c r="A107" t="str">
        <f>IF(Table1[[#This Row],[Customer Name]]="Emma Clark","EMMA CLARK",Table1[[#This Row],[Customer Name]])</f>
        <v>Olivia Wilson</v>
      </c>
      <c r="B107" t="str">
        <f>IF(AND(Table1[[#This Row],[Price]]&gt;50,Table1[[#This Row],[Category]]="Footwear"),"High","Low")</f>
        <v>Low</v>
      </c>
      <c r="C107" t="str">
        <f>TEXT(Table1[[#This Row],[Date]],"MMM-YY")</f>
        <v>Mar-25</v>
      </c>
      <c r="D107" s="10" t="str">
        <f>IF(Table1[[#This Row],[profit]]&gt;5000000,"High",IF(Table1[[#This Row],[profit]]&gt;3000000,"Medium","Low"))</f>
        <v>Low</v>
      </c>
      <c r="E107" t="str">
        <f>IF(Table1[[#This Row],[Status]]="Completed","Paid","Not Paid")</f>
        <v>Paid</v>
      </c>
    </row>
    <row r="108" spans="1:5" x14ac:dyDescent="0.25">
      <c r="A108" t="str">
        <f>IF(Table1[[#This Row],[Customer Name]]="Emma Clark","EMMA CLARK",Table1[[#This Row],[Customer Name]])</f>
        <v>Olivia Wilson</v>
      </c>
      <c r="B108" t="str">
        <f>IF(AND(Table1[[#This Row],[Price]]&gt;50,Table1[[#This Row],[Category]]="Footwear"),"High","Low")</f>
        <v>Low</v>
      </c>
      <c r="C108" t="str">
        <f>TEXT(Table1[[#This Row],[Date]],"MMM-YY")</f>
        <v>Mar-25</v>
      </c>
      <c r="D108" s="10" t="str">
        <f>IF(Table1[[#This Row],[profit]]&gt;5000000,"High",IF(Table1[[#This Row],[profit]]&gt;3000000,"Medium","Low"))</f>
        <v>Low</v>
      </c>
      <c r="E108" t="str">
        <f>IF(Table1[[#This Row],[Status]]="Completed","Paid","Not Paid")</f>
        <v>Paid</v>
      </c>
    </row>
    <row r="109" spans="1:5" x14ac:dyDescent="0.25">
      <c r="A109" t="str">
        <f>IF(Table1[[#This Row],[Customer Name]]="Emma Clark","EMMA CLARK",Table1[[#This Row],[Customer Name]])</f>
        <v>Daniel Harris</v>
      </c>
      <c r="B109" t="str">
        <f>IF(AND(Table1[[#This Row],[Price]]&gt;50,Table1[[#This Row],[Category]]="Footwear"),"High","Low")</f>
        <v>Low</v>
      </c>
      <c r="C109" t="str">
        <f>TEXT(Table1[[#This Row],[Date]],"MMM-YY")</f>
        <v>Mar-25</v>
      </c>
      <c r="D109" s="10" t="str">
        <f>IF(Table1[[#This Row],[profit]]&gt;5000000,"High",IF(Table1[[#This Row],[profit]]&gt;3000000,"Medium","Low"))</f>
        <v>Low</v>
      </c>
      <c r="E109" t="str">
        <f>IF(Table1[[#This Row],[Status]]="Completed","Paid","Not Paid")</f>
        <v>Paid</v>
      </c>
    </row>
    <row r="110" spans="1:5" x14ac:dyDescent="0.25">
      <c r="A110" t="str">
        <f>IF(Table1[[#This Row],[Customer Name]]="Emma Clark","EMMA CLARK",Table1[[#This Row],[Customer Name]])</f>
        <v>Michael Brown</v>
      </c>
      <c r="B110" t="str">
        <f>IF(AND(Table1[[#This Row],[Price]]&gt;50,Table1[[#This Row],[Category]]="Footwear"),"High","Low")</f>
        <v>Low</v>
      </c>
      <c r="C110" t="str">
        <f>TEXT(Table1[[#This Row],[Date]],"MMM-YY")</f>
        <v>Mar-25</v>
      </c>
      <c r="D110" s="10" t="str">
        <f>IF(Table1[[#This Row],[profit]]&gt;5000000,"High",IF(Table1[[#This Row],[profit]]&gt;3000000,"Medium","Low"))</f>
        <v>Low</v>
      </c>
      <c r="E110" t="str">
        <f>IF(Table1[[#This Row],[Status]]="Completed","Paid","Not Paid")</f>
        <v>Not Paid</v>
      </c>
    </row>
    <row r="111" spans="1:5" x14ac:dyDescent="0.25">
      <c r="A111" t="str">
        <f>IF(Table1[[#This Row],[Customer Name]]="Emma Clark","EMMA CLARK",Table1[[#This Row],[Customer Name]])</f>
        <v>Olivia Wilson</v>
      </c>
      <c r="B111" t="str">
        <f>IF(AND(Table1[[#This Row],[Price]]&gt;50,Table1[[#This Row],[Category]]="Footwear"),"High","Low")</f>
        <v>Low</v>
      </c>
      <c r="C111" t="str">
        <f>TEXT(Table1[[#This Row],[Date]],"MMM-YY")</f>
        <v>Feb-25</v>
      </c>
      <c r="D111" s="10" t="str">
        <f>IF(Table1[[#This Row],[profit]]&gt;5000000,"High",IF(Table1[[#This Row],[profit]]&gt;3000000,"Medium","Low"))</f>
        <v>Low</v>
      </c>
      <c r="E111" t="str">
        <f>IF(Table1[[#This Row],[Status]]="Completed","Paid","Not Paid")</f>
        <v>Not Paid</v>
      </c>
    </row>
    <row r="112" spans="1:5" x14ac:dyDescent="0.25">
      <c r="A112" t="str">
        <f>IF(Table1[[#This Row],[Customer Name]]="Emma Clark","EMMA CLARK",Table1[[#This Row],[Customer Name]])</f>
        <v>EMMA CLARK</v>
      </c>
      <c r="B112" t="str">
        <f>IF(AND(Table1[[#This Row],[Price]]&gt;50,Table1[[#This Row],[Category]]="Footwear"),"High","Low")</f>
        <v>Low</v>
      </c>
      <c r="C112" t="str">
        <f>TEXT(Table1[[#This Row],[Date]],"MMM-YY")</f>
        <v>Mar-25</v>
      </c>
      <c r="D112" s="10" t="str">
        <f>IF(Table1[[#This Row],[profit]]&gt;5000000,"High",IF(Table1[[#This Row],[profit]]&gt;3000000,"Medium","Low"))</f>
        <v>Low</v>
      </c>
      <c r="E112" t="str">
        <f>IF(Table1[[#This Row],[Status]]="Completed","Paid","Not Paid")</f>
        <v>Paid</v>
      </c>
    </row>
    <row r="113" spans="1:5" x14ac:dyDescent="0.25">
      <c r="A113" t="str">
        <f>IF(Table1[[#This Row],[Customer Name]]="Emma Clark","EMMA CLARK",Table1[[#This Row],[Customer Name]])</f>
        <v>David Lee</v>
      </c>
      <c r="B113" t="str">
        <f>IF(AND(Table1[[#This Row],[Price]]&gt;50,Table1[[#This Row],[Category]]="Footwear"),"High","Low")</f>
        <v>Low</v>
      </c>
      <c r="C113" t="str">
        <f>TEXT(Table1[[#This Row],[Date]],"MMM-YY")</f>
        <v>Mar-25</v>
      </c>
      <c r="D113" s="10" t="str">
        <f>IF(Table1[[#This Row],[profit]]&gt;5000000,"High",IF(Table1[[#This Row],[profit]]&gt;3000000,"Medium","Low"))</f>
        <v>High</v>
      </c>
      <c r="E113" t="str">
        <f>IF(Table1[[#This Row],[Status]]="Completed","Paid","Not Paid")</f>
        <v>Not Paid</v>
      </c>
    </row>
    <row r="114" spans="1:5" x14ac:dyDescent="0.25">
      <c r="A114" t="str">
        <f>IF(Table1[[#This Row],[Customer Name]]="Emma Clark","EMMA CLARK",Table1[[#This Row],[Customer Name]])</f>
        <v>David Lee</v>
      </c>
      <c r="B114" t="str">
        <f>IF(AND(Table1[[#This Row],[Price]]&gt;50,Table1[[#This Row],[Category]]="Footwear"),"High","Low")</f>
        <v>Low</v>
      </c>
      <c r="C114" t="str">
        <f>TEXT(Table1[[#This Row],[Date]],"MMM-YY")</f>
        <v>Mar-25</v>
      </c>
      <c r="D114" s="10" t="str">
        <f>IF(Table1[[#This Row],[profit]]&gt;5000000,"High",IF(Table1[[#This Row],[profit]]&gt;3000000,"Medium","Low"))</f>
        <v>Low</v>
      </c>
      <c r="E114" t="str">
        <f>IF(Table1[[#This Row],[Status]]="Completed","Paid","Not Paid")</f>
        <v>Not Paid</v>
      </c>
    </row>
    <row r="115" spans="1:5" x14ac:dyDescent="0.25">
      <c r="A115" t="str">
        <f>IF(Table1[[#This Row],[Customer Name]]="Emma Clark","EMMA CLARK",Table1[[#This Row],[Customer Name]])</f>
        <v>EMMA CLARK</v>
      </c>
      <c r="B115" t="str">
        <f>IF(AND(Table1[[#This Row],[Price]]&gt;50,Table1[[#This Row],[Category]]="Footwear"),"High","Low")</f>
        <v>High</v>
      </c>
      <c r="C115" t="str">
        <f>TEXT(Table1[[#This Row],[Date]],"MMM-YY")</f>
        <v>Feb-25</v>
      </c>
      <c r="D115" s="10" t="str">
        <f>IF(Table1[[#This Row],[profit]]&gt;5000000,"High",IF(Table1[[#This Row],[profit]]&gt;3000000,"Medium","Low"))</f>
        <v>High</v>
      </c>
      <c r="E115" t="str">
        <f>IF(Table1[[#This Row],[Status]]="Completed","Paid","Not Paid")</f>
        <v>Not Paid</v>
      </c>
    </row>
    <row r="116" spans="1:5" x14ac:dyDescent="0.25">
      <c r="A116" t="str">
        <f>IF(Table1[[#This Row],[Customer Name]]="Emma Clark","EMMA CLARK",Table1[[#This Row],[Customer Name]])</f>
        <v>Olivia Wilson</v>
      </c>
      <c r="B116" t="str">
        <f>IF(AND(Table1[[#This Row],[Price]]&gt;50,Table1[[#This Row],[Category]]="Footwear"),"High","Low")</f>
        <v>High</v>
      </c>
      <c r="C116" t="str">
        <f>TEXT(Table1[[#This Row],[Date]],"MMM-YY")</f>
        <v>Mar-25</v>
      </c>
      <c r="D116" s="10" t="str">
        <f>IF(Table1[[#This Row],[profit]]&gt;5000000,"High",IF(Table1[[#This Row],[profit]]&gt;3000000,"Medium","Low"))</f>
        <v>High</v>
      </c>
      <c r="E116" t="str">
        <f>IF(Table1[[#This Row],[Status]]="Completed","Paid","Not Paid")</f>
        <v>Paid</v>
      </c>
    </row>
    <row r="117" spans="1:5" x14ac:dyDescent="0.25">
      <c r="A117" t="str">
        <f>IF(Table1[[#This Row],[Customer Name]]="Emma Clark","EMMA CLARK",Table1[[#This Row],[Customer Name]])</f>
        <v>EMMA CLARK</v>
      </c>
      <c r="B117" t="str">
        <f>IF(AND(Table1[[#This Row],[Price]]&gt;50,Table1[[#This Row],[Category]]="Footwear"),"High","Low")</f>
        <v>Low</v>
      </c>
      <c r="C117" t="str">
        <f>TEXT(Table1[[#This Row],[Date]],"MMM-YY")</f>
        <v>Mar-25</v>
      </c>
      <c r="D117" s="10" t="str">
        <f>IF(Table1[[#This Row],[profit]]&gt;5000000,"High",IF(Table1[[#This Row],[profit]]&gt;3000000,"Medium","Low"))</f>
        <v>Low</v>
      </c>
      <c r="E117" t="str">
        <f>IF(Table1[[#This Row],[Status]]="Completed","Paid","Not Paid")</f>
        <v>Paid</v>
      </c>
    </row>
    <row r="118" spans="1:5" x14ac:dyDescent="0.25">
      <c r="A118" t="str">
        <f>IF(Table1[[#This Row],[Customer Name]]="Emma Clark","EMMA CLARK",Table1[[#This Row],[Customer Name]])</f>
        <v>Daniel Harris</v>
      </c>
      <c r="B118" t="str">
        <f>IF(AND(Table1[[#This Row],[Price]]&gt;50,Table1[[#This Row],[Category]]="Footwear"),"High","Low")</f>
        <v>Low</v>
      </c>
      <c r="C118" t="str">
        <f>TEXT(Table1[[#This Row],[Date]],"MMM-YY")</f>
        <v>Feb-25</v>
      </c>
      <c r="D118" s="10" t="str">
        <f>IF(Table1[[#This Row],[profit]]&gt;5000000,"High",IF(Table1[[#This Row],[profit]]&gt;3000000,"Medium","Low"))</f>
        <v>High</v>
      </c>
      <c r="E118" t="str">
        <f>IF(Table1[[#This Row],[Status]]="Completed","Paid","Not Paid")</f>
        <v>Paid</v>
      </c>
    </row>
    <row r="119" spans="1:5" x14ac:dyDescent="0.25">
      <c r="A119" t="str">
        <f>IF(Table1[[#This Row],[Customer Name]]="Emma Clark","EMMA CLARK",Table1[[#This Row],[Customer Name]])</f>
        <v>John Doe</v>
      </c>
      <c r="B119" t="str">
        <f>IF(AND(Table1[[#This Row],[Price]]&gt;50,Table1[[#This Row],[Category]]="Footwear"),"High","Low")</f>
        <v>Low</v>
      </c>
      <c r="C119" t="str">
        <f>TEXT(Table1[[#This Row],[Date]],"MMM-YY")</f>
        <v>Feb-25</v>
      </c>
      <c r="D119" s="10" t="str">
        <f>IF(Table1[[#This Row],[profit]]&gt;5000000,"High",IF(Table1[[#This Row],[profit]]&gt;3000000,"Medium","Low"))</f>
        <v>Low</v>
      </c>
      <c r="E119" t="str">
        <f>IF(Table1[[#This Row],[Status]]="Completed","Paid","Not Paid")</f>
        <v>Paid</v>
      </c>
    </row>
    <row r="120" spans="1:5" x14ac:dyDescent="0.25">
      <c r="A120" t="str">
        <f>IF(Table1[[#This Row],[Customer Name]]="Emma Clark","EMMA CLARK",Table1[[#This Row],[Customer Name]])</f>
        <v>Chris White</v>
      </c>
      <c r="B120" t="str">
        <f>IF(AND(Table1[[#This Row],[Price]]&gt;50,Table1[[#This Row],[Category]]="Footwear"),"High","Low")</f>
        <v>Low</v>
      </c>
      <c r="C120" t="str">
        <f>TEXT(Table1[[#This Row],[Date]],"MMM-YY")</f>
        <v>Mar-25</v>
      </c>
      <c r="D120" s="10" t="str">
        <f>IF(Table1[[#This Row],[profit]]&gt;5000000,"High",IF(Table1[[#This Row],[profit]]&gt;3000000,"Medium","Low"))</f>
        <v>High</v>
      </c>
      <c r="E120" t="str">
        <f>IF(Table1[[#This Row],[Status]]="Completed","Paid","Not Paid")</f>
        <v>Not Paid</v>
      </c>
    </row>
    <row r="121" spans="1:5" x14ac:dyDescent="0.25">
      <c r="A121" t="str">
        <f>IF(Table1[[#This Row],[Customer Name]]="Emma Clark","EMMA CLARK",Table1[[#This Row],[Customer Name]])</f>
        <v>Emily Johnson</v>
      </c>
      <c r="B121" t="str">
        <f>IF(AND(Table1[[#This Row],[Price]]&gt;50,Table1[[#This Row],[Category]]="Footwear"),"High","Low")</f>
        <v>Low</v>
      </c>
      <c r="C121" t="str">
        <f>TEXT(Table1[[#This Row],[Date]],"MMM-YY")</f>
        <v>Feb-25</v>
      </c>
      <c r="D121" s="10" t="str">
        <f>IF(Table1[[#This Row],[profit]]&gt;5000000,"High",IF(Table1[[#This Row],[profit]]&gt;3000000,"Medium","Low"))</f>
        <v>Low</v>
      </c>
      <c r="E121" t="str">
        <f>IF(Table1[[#This Row],[Status]]="Completed","Paid","Not Paid")</f>
        <v>Paid</v>
      </c>
    </row>
    <row r="122" spans="1:5" x14ac:dyDescent="0.25">
      <c r="A122" t="str">
        <f>IF(Table1[[#This Row],[Customer Name]]="Emma Clark","EMMA CLARK",Table1[[#This Row],[Customer Name]])</f>
        <v>John Doe</v>
      </c>
      <c r="B122" t="str">
        <f>IF(AND(Table1[[#This Row],[Price]]&gt;50,Table1[[#This Row],[Category]]="Footwear"),"High","Low")</f>
        <v>Low</v>
      </c>
      <c r="C122" t="str">
        <f>TEXT(Table1[[#This Row],[Date]],"MMM-YY")</f>
        <v>Feb-25</v>
      </c>
      <c r="D122" s="10" t="str">
        <f>IF(Table1[[#This Row],[profit]]&gt;5000000,"High",IF(Table1[[#This Row],[profit]]&gt;3000000,"Medium","Low"))</f>
        <v>Low</v>
      </c>
      <c r="E122" t="str">
        <f>IF(Table1[[#This Row],[Status]]="Completed","Paid","Not Paid")</f>
        <v>Not Paid</v>
      </c>
    </row>
    <row r="123" spans="1:5" x14ac:dyDescent="0.25">
      <c r="A123" t="str">
        <f>IF(Table1[[#This Row],[Customer Name]]="Emma Clark","EMMA CLARK",Table1[[#This Row],[Customer Name]])</f>
        <v>John Doe</v>
      </c>
      <c r="B123" t="str">
        <f>IF(AND(Table1[[#This Row],[Price]]&gt;50,Table1[[#This Row],[Category]]="Footwear"),"High","Low")</f>
        <v>Low</v>
      </c>
      <c r="C123" t="str">
        <f>TEXT(Table1[[#This Row],[Date]],"MMM-YY")</f>
        <v>Mar-25</v>
      </c>
      <c r="D123" s="10" t="str">
        <f>IF(Table1[[#This Row],[profit]]&gt;5000000,"High",IF(Table1[[#This Row],[profit]]&gt;3000000,"Medium","Low"))</f>
        <v>Low</v>
      </c>
      <c r="E123" t="str">
        <f>IF(Table1[[#This Row],[Status]]="Completed","Paid","Not Paid")</f>
        <v>Paid</v>
      </c>
    </row>
    <row r="124" spans="1:5" x14ac:dyDescent="0.25">
      <c r="A124" t="str">
        <f>IF(Table1[[#This Row],[Customer Name]]="Emma Clark","EMMA CLARK",Table1[[#This Row],[Customer Name]])</f>
        <v>Chris White</v>
      </c>
      <c r="B124" t="str">
        <f>IF(AND(Table1[[#This Row],[Price]]&gt;50,Table1[[#This Row],[Category]]="Footwear"),"High","Low")</f>
        <v>Low</v>
      </c>
      <c r="C124" t="str">
        <f>TEXT(Table1[[#This Row],[Date]],"MMM-YY")</f>
        <v>Feb-25</v>
      </c>
      <c r="D124" s="10" t="str">
        <f>IF(Table1[[#This Row],[profit]]&gt;5000000,"High",IF(Table1[[#This Row],[profit]]&gt;3000000,"Medium","Low"))</f>
        <v>Low</v>
      </c>
      <c r="E124" t="str">
        <f>IF(Table1[[#This Row],[Status]]="Completed","Paid","Not Paid")</f>
        <v>Not Paid</v>
      </c>
    </row>
    <row r="125" spans="1:5" x14ac:dyDescent="0.25">
      <c r="A125" t="str">
        <f>IF(Table1[[#This Row],[Customer Name]]="Emma Clark","EMMA CLARK",Table1[[#This Row],[Customer Name]])</f>
        <v>EMMA CLARK</v>
      </c>
      <c r="B125" t="str">
        <f>IF(AND(Table1[[#This Row],[Price]]&gt;50,Table1[[#This Row],[Category]]="Footwear"),"High","Low")</f>
        <v>Low</v>
      </c>
      <c r="C125" t="str">
        <f>TEXT(Table1[[#This Row],[Date]],"MMM-YY")</f>
        <v>Feb-25</v>
      </c>
      <c r="D125" s="10" t="str">
        <f>IF(Table1[[#This Row],[profit]]&gt;5000000,"High",IF(Table1[[#This Row],[profit]]&gt;3000000,"Medium","Low"))</f>
        <v>Low</v>
      </c>
      <c r="E125" t="str">
        <f>IF(Table1[[#This Row],[Status]]="Completed","Paid","Not Paid")</f>
        <v>Paid</v>
      </c>
    </row>
    <row r="126" spans="1:5" x14ac:dyDescent="0.25">
      <c r="A126" t="str">
        <f>IF(Table1[[#This Row],[Customer Name]]="Emma Clark","EMMA CLARK",Table1[[#This Row],[Customer Name]])</f>
        <v>Emily Johnson</v>
      </c>
      <c r="B126" t="str">
        <f>IF(AND(Table1[[#This Row],[Price]]&gt;50,Table1[[#This Row],[Category]]="Footwear"),"High","Low")</f>
        <v>Low</v>
      </c>
      <c r="C126" t="str">
        <f>TEXT(Table1[[#This Row],[Date]],"MMM-YY")</f>
        <v>Feb-25</v>
      </c>
      <c r="D126" s="10" t="str">
        <f>IF(Table1[[#This Row],[profit]]&gt;5000000,"High",IF(Table1[[#This Row],[profit]]&gt;3000000,"Medium","Low"))</f>
        <v>Low</v>
      </c>
      <c r="E126" t="str">
        <f>IF(Table1[[#This Row],[Status]]="Completed","Paid","Not Paid")</f>
        <v>Not Paid</v>
      </c>
    </row>
    <row r="127" spans="1:5" x14ac:dyDescent="0.25">
      <c r="A127" t="str">
        <f>IF(Table1[[#This Row],[Customer Name]]="Emma Clark","EMMA CLARK",Table1[[#This Row],[Customer Name]])</f>
        <v>Olivia Wilson</v>
      </c>
      <c r="B127" t="str">
        <f>IF(AND(Table1[[#This Row],[Price]]&gt;50,Table1[[#This Row],[Category]]="Footwear"),"High","Low")</f>
        <v>Low</v>
      </c>
      <c r="C127" t="str">
        <f>TEXT(Table1[[#This Row],[Date]],"MMM-YY")</f>
        <v>Feb-25</v>
      </c>
      <c r="D127" s="10" t="str">
        <f>IF(Table1[[#This Row],[profit]]&gt;5000000,"High",IF(Table1[[#This Row],[profit]]&gt;3000000,"Medium","Low"))</f>
        <v>Low</v>
      </c>
      <c r="E127" t="str">
        <f>IF(Table1[[#This Row],[Status]]="Completed","Paid","Not Paid")</f>
        <v>Not Paid</v>
      </c>
    </row>
    <row r="128" spans="1:5" x14ac:dyDescent="0.25">
      <c r="A128" t="str">
        <f>IF(Table1[[#This Row],[Customer Name]]="Emma Clark","EMMA CLARK",Table1[[#This Row],[Customer Name]])</f>
        <v>EMMA CLARK</v>
      </c>
      <c r="B128" t="str">
        <f>IF(AND(Table1[[#This Row],[Price]]&gt;50,Table1[[#This Row],[Category]]="Footwear"),"High","Low")</f>
        <v>Low</v>
      </c>
      <c r="C128" t="str">
        <f>TEXT(Table1[[#This Row],[Date]],"MMM-YY")</f>
        <v>Feb-25</v>
      </c>
      <c r="D128" s="10" t="str">
        <f>IF(Table1[[#This Row],[profit]]&gt;5000000,"High",IF(Table1[[#This Row],[profit]]&gt;3000000,"Medium","Low"))</f>
        <v>High</v>
      </c>
      <c r="E128" t="str">
        <f>IF(Table1[[#This Row],[Status]]="Completed","Paid","Not Paid")</f>
        <v>Not Paid</v>
      </c>
    </row>
    <row r="129" spans="1:5" x14ac:dyDescent="0.25">
      <c r="A129" t="str">
        <f>IF(Table1[[#This Row],[Customer Name]]="Emma Clark","EMMA CLARK",Table1[[#This Row],[Customer Name]])</f>
        <v>Emily Johnson</v>
      </c>
      <c r="B129" t="str">
        <f>IF(AND(Table1[[#This Row],[Price]]&gt;50,Table1[[#This Row],[Category]]="Footwear"),"High","Low")</f>
        <v>Low</v>
      </c>
      <c r="C129" t="str">
        <f>TEXT(Table1[[#This Row],[Date]],"MMM-YY")</f>
        <v>Mar-25</v>
      </c>
      <c r="D129" s="10" t="str">
        <f>IF(Table1[[#This Row],[profit]]&gt;5000000,"High",IF(Table1[[#This Row],[profit]]&gt;3000000,"Medium","Low"))</f>
        <v>High</v>
      </c>
      <c r="E129" t="str">
        <f>IF(Table1[[#This Row],[Status]]="Completed","Paid","Not Paid")</f>
        <v>Paid</v>
      </c>
    </row>
    <row r="130" spans="1:5" x14ac:dyDescent="0.25">
      <c r="A130" t="str">
        <f>IF(Table1[[#This Row],[Customer Name]]="Emma Clark","EMMA CLARK",Table1[[#This Row],[Customer Name]])</f>
        <v>Emily Johnson</v>
      </c>
      <c r="B130" t="str">
        <f>IF(AND(Table1[[#This Row],[Price]]&gt;50,Table1[[#This Row],[Category]]="Footwear"),"High","Low")</f>
        <v>Low</v>
      </c>
      <c r="C130" t="str">
        <f>TEXT(Table1[[#This Row],[Date]],"MMM-YY")</f>
        <v>Feb-25</v>
      </c>
      <c r="D130" s="10" t="str">
        <f>IF(Table1[[#This Row],[profit]]&gt;5000000,"High",IF(Table1[[#This Row],[profit]]&gt;3000000,"Medium","Low"))</f>
        <v>High</v>
      </c>
      <c r="E130" t="str">
        <f>IF(Table1[[#This Row],[Status]]="Completed","Paid","Not Paid")</f>
        <v>Paid</v>
      </c>
    </row>
    <row r="131" spans="1:5" x14ac:dyDescent="0.25">
      <c r="A131" t="str">
        <f>IF(Table1[[#This Row],[Customer Name]]="Emma Clark","EMMA CLARK",Table1[[#This Row],[Customer Name]])</f>
        <v>David Lee</v>
      </c>
      <c r="B131" t="str">
        <f>IF(AND(Table1[[#This Row],[Price]]&gt;50,Table1[[#This Row],[Category]]="Footwear"),"High","Low")</f>
        <v>Low</v>
      </c>
      <c r="C131" t="str">
        <f>TEXT(Table1[[#This Row],[Date]],"MMM-YY")</f>
        <v>Feb-25</v>
      </c>
      <c r="D131" s="10" t="str">
        <f>IF(Table1[[#This Row],[profit]]&gt;5000000,"High",IF(Table1[[#This Row],[profit]]&gt;3000000,"Medium","Low"))</f>
        <v>Low</v>
      </c>
      <c r="E131" t="str">
        <f>IF(Table1[[#This Row],[Status]]="Completed","Paid","Not Paid")</f>
        <v>Paid</v>
      </c>
    </row>
    <row r="132" spans="1:5" x14ac:dyDescent="0.25">
      <c r="A132" t="str">
        <f>IF(Table1[[#This Row],[Customer Name]]="Emma Clark","EMMA CLARK",Table1[[#This Row],[Customer Name]])</f>
        <v>Daniel Harris</v>
      </c>
      <c r="B132" t="str">
        <f>IF(AND(Table1[[#This Row],[Price]]&gt;50,Table1[[#This Row],[Category]]="Footwear"),"High","Low")</f>
        <v>Low</v>
      </c>
      <c r="C132" t="str">
        <f>TEXT(Table1[[#This Row],[Date]],"MMM-YY")</f>
        <v>Feb-25</v>
      </c>
      <c r="D132" s="10" t="str">
        <f>IF(Table1[[#This Row],[profit]]&gt;5000000,"High",IF(Table1[[#This Row],[profit]]&gt;3000000,"Medium","Low"))</f>
        <v>Low</v>
      </c>
      <c r="E132" t="str">
        <f>IF(Table1[[#This Row],[Status]]="Completed","Paid","Not Paid")</f>
        <v>Not Paid</v>
      </c>
    </row>
    <row r="133" spans="1:5" x14ac:dyDescent="0.25">
      <c r="A133" t="str">
        <f>IF(Table1[[#This Row],[Customer Name]]="Emma Clark","EMMA CLARK",Table1[[#This Row],[Customer Name]])</f>
        <v>Olivia Wilson</v>
      </c>
      <c r="B133" t="str">
        <f>IF(AND(Table1[[#This Row],[Price]]&gt;50,Table1[[#This Row],[Category]]="Footwear"),"High","Low")</f>
        <v>Low</v>
      </c>
      <c r="C133" t="str">
        <f>TEXT(Table1[[#This Row],[Date]],"MMM-YY")</f>
        <v>Mar-25</v>
      </c>
      <c r="D133" s="10" t="str">
        <f>IF(Table1[[#This Row],[profit]]&gt;5000000,"High",IF(Table1[[#This Row],[profit]]&gt;3000000,"Medium","Low"))</f>
        <v>Low</v>
      </c>
      <c r="E133" t="str">
        <f>IF(Table1[[#This Row],[Status]]="Completed","Paid","Not Paid")</f>
        <v>Not Paid</v>
      </c>
    </row>
    <row r="134" spans="1:5" x14ac:dyDescent="0.25">
      <c r="A134" t="str">
        <f>IF(Table1[[#This Row],[Customer Name]]="Emma Clark","EMMA CLARK",Table1[[#This Row],[Customer Name]])</f>
        <v>Emily Johnson</v>
      </c>
      <c r="B134" t="str">
        <f>IF(AND(Table1[[#This Row],[Price]]&gt;50,Table1[[#This Row],[Category]]="Footwear"),"High","Low")</f>
        <v>Low</v>
      </c>
      <c r="C134" t="str">
        <f>TEXT(Table1[[#This Row],[Date]],"MMM-YY")</f>
        <v>Feb-25</v>
      </c>
      <c r="D134" s="10" t="str">
        <f>IF(Table1[[#This Row],[profit]]&gt;5000000,"High",IF(Table1[[#This Row],[profit]]&gt;3000000,"Medium","Low"))</f>
        <v>Low</v>
      </c>
      <c r="E134" t="str">
        <f>IF(Table1[[#This Row],[Status]]="Completed","Paid","Not Paid")</f>
        <v>Paid</v>
      </c>
    </row>
    <row r="135" spans="1:5" x14ac:dyDescent="0.25">
      <c r="A135" t="str">
        <f>IF(Table1[[#This Row],[Customer Name]]="Emma Clark","EMMA CLARK",Table1[[#This Row],[Customer Name]])</f>
        <v>David Lee</v>
      </c>
      <c r="B135" t="str">
        <f>IF(AND(Table1[[#This Row],[Price]]&gt;50,Table1[[#This Row],[Category]]="Footwear"),"High","Low")</f>
        <v>Low</v>
      </c>
      <c r="C135" t="str">
        <f>TEXT(Table1[[#This Row],[Date]],"MMM-YY")</f>
        <v>Feb-25</v>
      </c>
      <c r="D135" s="10" t="str">
        <f>IF(Table1[[#This Row],[profit]]&gt;5000000,"High",IF(Table1[[#This Row],[profit]]&gt;3000000,"Medium","Low"))</f>
        <v>High</v>
      </c>
      <c r="E135" t="str">
        <f>IF(Table1[[#This Row],[Status]]="Completed","Paid","Not Paid")</f>
        <v>Not Paid</v>
      </c>
    </row>
    <row r="136" spans="1:5" x14ac:dyDescent="0.25">
      <c r="A136" t="str">
        <f>IF(Table1[[#This Row],[Customer Name]]="Emma Clark","EMMA CLARK",Table1[[#This Row],[Customer Name]])</f>
        <v>Olivia Wilson</v>
      </c>
      <c r="B136" t="str">
        <f>IF(AND(Table1[[#This Row],[Price]]&gt;50,Table1[[#This Row],[Category]]="Footwear"),"High","Low")</f>
        <v>Low</v>
      </c>
      <c r="C136" t="str">
        <f>TEXT(Table1[[#This Row],[Date]],"MMM-YY")</f>
        <v>Feb-25</v>
      </c>
      <c r="D136" s="10" t="str">
        <f>IF(Table1[[#This Row],[profit]]&gt;5000000,"High",IF(Table1[[#This Row],[profit]]&gt;3000000,"Medium","Low"))</f>
        <v>High</v>
      </c>
      <c r="E136" t="str">
        <f>IF(Table1[[#This Row],[Status]]="Completed","Paid","Not Paid")</f>
        <v>Not Paid</v>
      </c>
    </row>
    <row r="137" spans="1:5" x14ac:dyDescent="0.25">
      <c r="A137" t="str">
        <f>IF(Table1[[#This Row],[Customer Name]]="Emma Clark","EMMA CLARK",Table1[[#This Row],[Customer Name]])</f>
        <v>Daniel Harris</v>
      </c>
      <c r="B137" t="str">
        <f>IF(AND(Table1[[#This Row],[Price]]&gt;50,Table1[[#This Row],[Category]]="Footwear"),"High","Low")</f>
        <v>Low</v>
      </c>
      <c r="C137" t="str">
        <f>TEXT(Table1[[#This Row],[Date]],"MMM-YY")</f>
        <v>Feb-25</v>
      </c>
      <c r="D137" s="10" t="str">
        <f>IF(Table1[[#This Row],[profit]]&gt;5000000,"High",IF(Table1[[#This Row],[profit]]&gt;3000000,"Medium","Low"))</f>
        <v>High</v>
      </c>
      <c r="E137" t="str">
        <f>IF(Table1[[#This Row],[Status]]="Completed","Paid","Not Paid")</f>
        <v>Paid</v>
      </c>
    </row>
    <row r="138" spans="1:5" x14ac:dyDescent="0.25">
      <c r="A138" t="str">
        <f>IF(Table1[[#This Row],[Customer Name]]="Emma Clark","EMMA CLARK",Table1[[#This Row],[Customer Name]])</f>
        <v>Sophia Miller</v>
      </c>
      <c r="B138" t="str">
        <f>IF(AND(Table1[[#This Row],[Price]]&gt;50,Table1[[#This Row],[Category]]="Footwear"),"High","Low")</f>
        <v>Low</v>
      </c>
      <c r="C138" t="str">
        <f>TEXT(Table1[[#This Row],[Date]],"MMM-YY")</f>
        <v>Mar-25</v>
      </c>
      <c r="D138" s="10" t="str">
        <f>IF(Table1[[#This Row],[profit]]&gt;5000000,"High",IF(Table1[[#This Row],[profit]]&gt;3000000,"Medium","Low"))</f>
        <v>Low</v>
      </c>
      <c r="E138" t="str">
        <f>IF(Table1[[#This Row],[Status]]="Completed","Paid","Not Paid")</f>
        <v>Not Paid</v>
      </c>
    </row>
    <row r="139" spans="1:5" x14ac:dyDescent="0.25">
      <c r="A139" t="str">
        <f>IF(Table1[[#This Row],[Customer Name]]="Emma Clark","EMMA CLARK",Table1[[#This Row],[Customer Name]])</f>
        <v>John Doe</v>
      </c>
      <c r="B139" t="str">
        <f>IF(AND(Table1[[#This Row],[Price]]&gt;50,Table1[[#This Row],[Category]]="Footwear"),"High","Low")</f>
        <v>Low</v>
      </c>
      <c r="C139" t="str">
        <f>TEXT(Table1[[#This Row],[Date]],"MMM-YY")</f>
        <v>Feb-25</v>
      </c>
      <c r="D139" s="10" t="str">
        <f>IF(Table1[[#This Row],[profit]]&gt;5000000,"High",IF(Table1[[#This Row],[profit]]&gt;3000000,"Medium","Low"))</f>
        <v>Low</v>
      </c>
      <c r="E139" t="str">
        <f>IF(Table1[[#This Row],[Status]]="Completed","Paid","Not Paid")</f>
        <v>Paid</v>
      </c>
    </row>
    <row r="140" spans="1:5" x14ac:dyDescent="0.25">
      <c r="A140" t="str">
        <f>IF(Table1[[#This Row],[Customer Name]]="Emma Clark","EMMA CLARK",Table1[[#This Row],[Customer Name]])</f>
        <v>Michael Brown</v>
      </c>
      <c r="B140" t="str">
        <f>IF(AND(Table1[[#This Row],[Price]]&gt;50,Table1[[#This Row],[Category]]="Footwear"),"High","Low")</f>
        <v>Low</v>
      </c>
      <c r="C140" t="str">
        <f>TEXT(Table1[[#This Row],[Date]],"MMM-YY")</f>
        <v>Mar-25</v>
      </c>
      <c r="D140" s="10" t="str">
        <f>IF(Table1[[#This Row],[profit]]&gt;5000000,"High",IF(Table1[[#This Row],[profit]]&gt;3000000,"Medium","Low"))</f>
        <v>Low</v>
      </c>
      <c r="E140" t="str">
        <f>IF(Table1[[#This Row],[Status]]="Completed","Paid","Not Paid")</f>
        <v>Not Paid</v>
      </c>
    </row>
    <row r="141" spans="1:5" x14ac:dyDescent="0.25">
      <c r="A141" t="str">
        <f>IF(Table1[[#This Row],[Customer Name]]="Emma Clark","EMMA CLARK",Table1[[#This Row],[Customer Name]])</f>
        <v>Olivia Wilson</v>
      </c>
      <c r="B141" t="str">
        <f>IF(AND(Table1[[#This Row],[Price]]&gt;50,Table1[[#This Row],[Category]]="Footwear"),"High","Low")</f>
        <v>Low</v>
      </c>
      <c r="C141" t="str">
        <f>TEXT(Table1[[#This Row],[Date]],"MMM-YY")</f>
        <v>Mar-25</v>
      </c>
      <c r="D141" s="10" t="str">
        <f>IF(Table1[[#This Row],[profit]]&gt;5000000,"High",IF(Table1[[#This Row],[profit]]&gt;3000000,"Medium","Low"))</f>
        <v>Low</v>
      </c>
      <c r="E141" t="str">
        <f>IF(Table1[[#This Row],[Status]]="Completed","Paid","Not Paid")</f>
        <v>Not Paid</v>
      </c>
    </row>
    <row r="142" spans="1:5" x14ac:dyDescent="0.25">
      <c r="A142" t="str">
        <f>IF(Table1[[#This Row],[Customer Name]]="Emma Clark","EMMA CLARK",Table1[[#This Row],[Customer Name]])</f>
        <v>John Doe</v>
      </c>
      <c r="B142" t="str">
        <f>IF(AND(Table1[[#This Row],[Price]]&gt;50,Table1[[#This Row],[Category]]="Footwear"),"High","Low")</f>
        <v>Low</v>
      </c>
      <c r="C142" t="str">
        <f>TEXT(Table1[[#This Row],[Date]],"MMM-YY")</f>
        <v>Mar-25</v>
      </c>
      <c r="D142" s="10" t="str">
        <f>IF(Table1[[#This Row],[profit]]&gt;5000000,"High",IF(Table1[[#This Row],[profit]]&gt;3000000,"Medium","Low"))</f>
        <v>Low</v>
      </c>
      <c r="E142" t="str">
        <f>IF(Table1[[#This Row],[Status]]="Completed","Paid","Not Paid")</f>
        <v>Not Paid</v>
      </c>
    </row>
    <row r="143" spans="1:5" x14ac:dyDescent="0.25">
      <c r="A143" t="str">
        <f>IF(Table1[[#This Row],[Customer Name]]="Emma Clark","EMMA CLARK",Table1[[#This Row],[Customer Name]])</f>
        <v>Sophia Miller</v>
      </c>
      <c r="B143" t="str">
        <f>IF(AND(Table1[[#This Row],[Price]]&gt;50,Table1[[#This Row],[Category]]="Footwear"),"High","Low")</f>
        <v>Low</v>
      </c>
      <c r="C143" t="str">
        <f>TEXT(Table1[[#This Row],[Date]],"MMM-YY")</f>
        <v>Mar-25</v>
      </c>
      <c r="D143" s="10" t="str">
        <f>IF(Table1[[#This Row],[profit]]&gt;5000000,"High",IF(Table1[[#This Row],[profit]]&gt;3000000,"Medium","Low"))</f>
        <v>High</v>
      </c>
      <c r="E143" t="str">
        <f>IF(Table1[[#This Row],[Status]]="Completed","Paid","Not Paid")</f>
        <v>Paid</v>
      </c>
    </row>
    <row r="144" spans="1:5" x14ac:dyDescent="0.25">
      <c r="A144" t="str">
        <f>IF(Table1[[#This Row],[Customer Name]]="Emma Clark","EMMA CLARK",Table1[[#This Row],[Customer Name]])</f>
        <v>Jane Smith</v>
      </c>
      <c r="B144" t="str">
        <f>IF(AND(Table1[[#This Row],[Price]]&gt;50,Table1[[#This Row],[Category]]="Footwear"),"High","Low")</f>
        <v>Low</v>
      </c>
      <c r="C144" t="str">
        <f>TEXT(Table1[[#This Row],[Date]],"MMM-YY")</f>
        <v>Mar-25</v>
      </c>
      <c r="D144" s="10" t="str">
        <f>IF(Table1[[#This Row],[profit]]&gt;5000000,"High",IF(Table1[[#This Row],[profit]]&gt;3000000,"Medium","Low"))</f>
        <v>High</v>
      </c>
      <c r="E144" t="str">
        <f>IF(Table1[[#This Row],[Status]]="Completed","Paid","Not Paid")</f>
        <v>Paid</v>
      </c>
    </row>
    <row r="145" spans="1:5" x14ac:dyDescent="0.25">
      <c r="A145" t="str">
        <f>IF(Table1[[#This Row],[Customer Name]]="Emma Clark","EMMA CLARK",Table1[[#This Row],[Customer Name]])</f>
        <v>Michael Brown</v>
      </c>
      <c r="B145" t="str">
        <f>IF(AND(Table1[[#This Row],[Price]]&gt;50,Table1[[#This Row],[Category]]="Footwear"),"High","Low")</f>
        <v>Low</v>
      </c>
      <c r="C145" t="str">
        <f>TEXT(Table1[[#This Row],[Date]],"MMM-YY")</f>
        <v>Feb-25</v>
      </c>
      <c r="D145" s="10" t="str">
        <f>IF(Table1[[#This Row],[profit]]&gt;5000000,"High",IF(Table1[[#This Row],[profit]]&gt;3000000,"Medium","Low"))</f>
        <v>High</v>
      </c>
      <c r="E145" t="str">
        <f>IF(Table1[[#This Row],[Status]]="Completed","Paid","Not Paid")</f>
        <v>Paid</v>
      </c>
    </row>
    <row r="146" spans="1:5" x14ac:dyDescent="0.25">
      <c r="A146" t="str">
        <f>IF(Table1[[#This Row],[Customer Name]]="Emma Clark","EMMA CLARK",Table1[[#This Row],[Customer Name]])</f>
        <v>Michael Brown</v>
      </c>
      <c r="B146" t="str">
        <f>IF(AND(Table1[[#This Row],[Price]]&gt;50,Table1[[#This Row],[Category]]="Footwear"),"High","Low")</f>
        <v>Low</v>
      </c>
      <c r="C146" t="str">
        <f>TEXT(Table1[[#This Row],[Date]],"MMM-YY")</f>
        <v>Mar-25</v>
      </c>
      <c r="D146" s="10" t="str">
        <f>IF(Table1[[#This Row],[profit]]&gt;5000000,"High",IF(Table1[[#This Row],[profit]]&gt;3000000,"Medium","Low"))</f>
        <v>High</v>
      </c>
      <c r="E146" t="str">
        <f>IF(Table1[[#This Row],[Status]]="Completed","Paid","Not Paid")</f>
        <v>Not Paid</v>
      </c>
    </row>
    <row r="147" spans="1:5" x14ac:dyDescent="0.25">
      <c r="A147" t="str">
        <f>IF(Table1[[#This Row],[Customer Name]]="Emma Clark","EMMA CLARK",Table1[[#This Row],[Customer Name]])</f>
        <v>EMMA CLARK</v>
      </c>
      <c r="B147" t="str">
        <f>IF(AND(Table1[[#This Row],[Price]]&gt;50,Table1[[#This Row],[Category]]="Footwear"),"High","Low")</f>
        <v>Low</v>
      </c>
      <c r="C147" t="str">
        <f>TEXT(Table1[[#This Row],[Date]],"MMM-YY")</f>
        <v>Mar-25</v>
      </c>
      <c r="D147" s="10" t="str">
        <f>IF(Table1[[#This Row],[profit]]&gt;5000000,"High",IF(Table1[[#This Row],[profit]]&gt;3000000,"Medium","Low"))</f>
        <v>Low</v>
      </c>
      <c r="E147" t="str">
        <f>IF(Table1[[#This Row],[Status]]="Completed","Paid","Not Paid")</f>
        <v>Not Paid</v>
      </c>
    </row>
    <row r="148" spans="1:5" x14ac:dyDescent="0.25">
      <c r="A148" t="str">
        <f>IF(Table1[[#This Row],[Customer Name]]="Emma Clark","EMMA CLARK",Table1[[#This Row],[Customer Name]])</f>
        <v>Jane Smith</v>
      </c>
      <c r="B148" t="str">
        <f>IF(AND(Table1[[#This Row],[Price]]&gt;50,Table1[[#This Row],[Category]]="Footwear"),"High","Low")</f>
        <v>High</v>
      </c>
      <c r="C148" t="str">
        <f>TEXT(Table1[[#This Row],[Date]],"MMM-YY")</f>
        <v>Feb-25</v>
      </c>
      <c r="D148" s="10" t="str">
        <f>IF(Table1[[#This Row],[profit]]&gt;5000000,"High",IF(Table1[[#This Row],[profit]]&gt;3000000,"Medium","Low"))</f>
        <v>Medium</v>
      </c>
      <c r="E148" t="str">
        <f>IF(Table1[[#This Row],[Status]]="Completed","Paid","Not Paid")</f>
        <v>Paid</v>
      </c>
    </row>
    <row r="149" spans="1:5" x14ac:dyDescent="0.25">
      <c r="A149" t="str">
        <f>IF(Table1[[#This Row],[Customer Name]]="Emma Clark","EMMA CLARK",Table1[[#This Row],[Customer Name]])</f>
        <v>Emily Johnson</v>
      </c>
      <c r="B149" t="str">
        <f>IF(AND(Table1[[#This Row],[Price]]&gt;50,Table1[[#This Row],[Category]]="Footwear"),"High","Low")</f>
        <v>Low</v>
      </c>
      <c r="C149" t="str">
        <f>TEXT(Table1[[#This Row],[Date]],"MMM-YY")</f>
        <v>Feb-25</v>
      </c>
      <c r="D149" s="10" t="str">
        <f>IF(Table1[[#This Row],[profit]]&gt;5000000,"High",IF(Table1[[#This Row],[profit]]&gt;3000000,"Medium","Low"))</f>
        <v>High</v>
      </c>
      <c r="E149" t="str">
        <f>IF(Table1[[#This Row],[Status]]="Completed","Paid","Not Paid")</f>
        <v>Not Paid</v>
      </c>
    </row>
    <row r="150" spans="1:5" x14ac:dyDescent="0.25">
      <c r="A150" t="str">
        <f>IF(Table1[[#This Row],[Customer Name]]="Emma Clark","EMMA CLARK",Table1[[#This Row],[Customer Name]])</f>
        <v>Michael Brown</v>
      </c>
      <c r="B150" t="str">
        <f>IF(AND(Table1[[#This Row],[Price]]&gt;50,Table1[[#This Row],[Category]]="Footwear"),"High","Low")</f>
        <v>High</v>
      </c>
      <c r="C150" t="str">
        <f>TEXT(Table1[[#This Row],[Date]],"MMM-YY")</f>
        <v>Mar-25</v>
      </c>
      <c r="D150" s="10" t="str">
        <f>IF(Table1[[#This Row],[profit]]&gt;5000000,"High",IF(Table1[[#This Row],[profit]]&gt;3000000,"Medium","Low"))</f>
        <v>Low</v>
      </c>
      <c r="E150" t="str">
        <f>IF(Table1[[#This Row],[Status]]="Completed","Paid","Not Paid")</f>
        <v>Not Paid</v>
      </c>
    </row>
    <row r="151" spans="1:5" x14ac:dyDescent="0.25">
      <c r="A151" t="str">
        <f>IF(Table1[[#This Row],[Customer Name]]="Emma Clark","EMMA CLARK",Table1[[#This Row],[Customer Name]])</f>
        <v>Daniel Harris</v>
      </c>
      <c r="B151" t="str">
        <f>IF(AND(Table1[[#This Row],[Price]]&gt;50,Table1[[#This Row],[Category]]="Footwear"),"High","Low")</f>
        <v>Low</v>
      </c>
      <c r="C151" t="str">
        <f>TEXT(Table1[[#This Row],[Date]],"MMM-YY")</f>
        <v>Feb-25</v>
      </c>
      <c r="D151" s="10" t="str">
        <f>IF(Table1[[#This Row],[profit]]&gt;5000000,"High",IF(Table1[[#This Row],[profit]]&gt;3000000,"Medium","Low"))</f>
        <v>High</v>
      </c>
      <c r="E151" t="str">
        <f>IF(Table1[[#This Row],[Status]]="Completed","Paid","Not Paid")</f>
        <v>Paid</v>
      </c>
    </row>
    <row r="152" spans="1:5" x14ac:dyDescent="0.25">
      <c r="A152" t="str">
        <f>IF(Table1[[#This Row],[Customer Name]]="Emma Clark","EMMA CLARK",Table1[[#This Row],[Customer Name]])</f>
        <v>Jane Smith</v>
      </c>
      <c r="B152" t="str">
        <f>IF(AND(Table1[[#This Row],[Price]]&gt;50,Table1[[#This Row],[Category]]="Footwear"),"High","Low")</f>
        <v>Low</v>
      </c>
      <c r="C152" t="str">
        <f>TEXT(Table1[[#This Row],[Date]],"MMM-YY")</f>
        <v>Mar-25</v>
      </c>
      <c r="D152" s="10" t="str">
        <f>IF(Table1[[#This Row],[profit]]&gt;5000000,"High",IF(Table1[[#This Row],[profit]]&gt;3000000,"Medium","Low"))</f>
        <v>Medium</v>
      </c>
      <c r="E152" t="str">
        <f>IF(Table1[[#This Row],[Status]]="Completed","Paid","Not Paid")</f>
        <v>Not Paid</v>
      </c>
    </row>
    <row r="153" spans="1:5" x14ac:dyDescent="0.25">
      <c r="A153" t="str">
        <f>IF(Table1[[#This Row],[Customer Name]]="Emma Clark","EMMA CLARK",Table1[[#This Row],[Customer Name]])</f>
        <v>John Doe</v>
      </c>
      <c r="B153" t="str">
        <f>IF(AND(Table1[[#This Row],[Price]]&gt;50,Table1[[#This Row],[Category]]="Footwear"),"High","Low")</f>
        <v>Low</v>
      </c>
      <c r="C153" t="str">
        <f>TEXT(Table1[[#This Row],[Date]],"MMM-YY")</f>
        <v>Feb-25</v>
      </c>
      <c r="D153" s="10" t="str">
        <f>IF(Table1[[#This Row],[profit]]&gt;5000000,"High",IF(Table1[[#This Row],[profit]]&gt;3000000,"Medium","Low"))</f>
        <v>Low</v>
      </c>
      <c r="E153" t="str">
        <f>IF(Table1[[#This Row],[Status]]="Completed","Paid","Not Paid")</f>
        <v>Paid</v>
      </c>
    </row>
    <row r="154" spans="1:5" x14ac:dyDescent="0.25">
      <c r="A154" t="str">
        <f>IF(Table1[[#This Row],[Customer Name]]="Emma Clark","EMMA CLARK",Table1[[#This Row],[Customer Name]])</f>
        <v>Sophia Miller</v>
      </c>
      <c r="B154" t="str">
        <f>IF(AND(Table1[[#This Row],[Price]]&gt;50,Table1[[#This Row],[Category]]="Footwear"),"High","Low")</f>
        <v>Low</v>
      </c>
      <c r="C154" t="str">
        <f>TEXT(Table1[[#This Row],[Date]],"MMM-YY")</f>
        <v>Feb-25</v>
      </c>
      <c r="D154" s="10" t="str">
        <f>IF(Table1[[#This Row],[profit]]&gt;5000000,"High",IF(Table1[[#This Row],[profit]]&gt;3000000,"Medium","Low"))</f>
        <v>Low</v>
      </c>
      <c r="E154" t="str">
        <f>IF(Table1[[#This Row],[Status]]="Completed","Paid","Not Paid")</f>
        <v>Not Paid</v>
      </c>
    </row>
    <row r="155" spans="1:5" x14ac:dyDescent="0.25">
      <c r="A155" t="str">
        <f>IF(Table1[[#This Row],[Customer Name]]="Emma Clark","EMMA CLARK",Table1[[#This Row],[Customer Name]])</f>
        <v>John Doe</v>
      </c>
      <c r="B155" t="str">
        <f>IF(AND(Table1[[#This Row],[Price]]&gt;50,Table1[[#This Row],[Category]]="Footwear"),"High","Low")</f>
        <v>Low</v>
      </c>
      <c r="C155" t="str">
        <f>TEXT(Table1[[#This Row],[Date]],"MMM-YY")</f>
        <v>Mar-25</v>
      </c>
      <c r="D155" s="10" t="str">
        <f>IF(Table1[[#This Row],[profit]]&gt;5000000,"High",IF(Table1[[#This Row],[profit]]&gt;3000000,"Medium","Low"))</f>
        <v>Medium</v>
      </c>
      <c r="E155" t="str">
        <f>IF(Table1[[#This Row],[Status]]="Completed","Paid","Not Paid")</f>
        <v>Not Paid</v>
      </c>
    </row>
    <row r="156" spans="1:5" x14ac:dyDescent="0.25">
      <c r="A156" t="str">
        <f>IF(Table1[[#This Row],[Customer Name]]="Emma Clark","EMMA CLARK",Table1[[#This Row],[Customer Name]])</f>
        <v>Sophia Miller</v>
      </c>
      <c r="B156" t="str">
        <f>IF(AND(Table1[[#This Row],[Price]]&gt;50,Table1[[#This Row],[Category]]="Footwear"),"High","Low")</f>
        <v>Low</v>
      </c>
      <c r="C156" t="str">
        <f>TEXT(Table1[[#This Row],[Date]],"MMM-YY")</f>
        <v>Feb-25</v>
      </c>
      <c r="D156" s="10" t="str">
        <f>IF(Table1[[#This Row],[profit]]&gt;5000000,"High",IF(Table1[[#This Row],[profit]]&gt;3000000,"Medium","Low"))</f>
        <v>High</v>
      </c>
      <c r="E156" t="str">
        <f>IF(Table1[[#This Row],[Status]]="Completed","Paid","Not Paid")</f>
        <v>Not Paid</v>
      </c>
    </row>
    <row r="157" spans="1:5" x14ac:dyDescent="0.25">
      <c r="A157" t="str">
        <f>IF(Table1[[#This Row],[Customer Name]]="Emma Clark","EMMA CLARK",Table1[[#This Row],[Customer Name]])</f>
        <v>Olivia Wilson</v>
      </c>
      <c r="B157" t="str">
        <f>IF(AND(Table1[[#This Row],[Price]]&gt;50,Table1[[#This Row],[Category]]="Footwear"),"High","Low")</f>
        <v>Low</v>
      </c>
      <c r="C157" t="str">
        <f>TEXT(Table1[[#This Row],[Date]],"MMM-YY")</f>
        <v>Mar-25</v>
      </c>
      <c r="D157" s="10" t="str">
        <f>IF(Table1[[#This Row],[profit]]&gt;5000000,"High",IF(Table1[[#This Row],[profit]]&gt;3000000,"Medium","Low"))</f>
        <v>Low</v>
      </c>
      <c r="E157" t="str">
        <f>IF(Table1[[#This Row],[Status]]="Completed","Paid","Not Paid")</f>
        <v>Paid</v>
      </c>
    </row>
    <row r="158" spans="1:5" x14ac:dyDescent="0.25">
      <c r="A158" t="str">
        <f>IF(Table1[[#This Row],[Customer Name]]="Emma Clark","EMMA CLARK",Table1[[#This Row],[Customer Name]])</f>
        <v>Sophia Miller</v>
      </c>
      <c r="B158" t="str">
        <f>IF(AND(Table1[[#This Row],[Price]]&gt;50,Table1[[#This Row],[Category]]="Footwear"),"High","Low")</f>
        <v>Low</v>
      </c>
      <c r="C158" t="str">
        <f>TEXT(Table1[[#This Row],[Date]],"MMM-YY")</f>
        <v>Feb-25</v>
      </c>
      <c r="D158" s="10" t="str">
        <f>IF(Table1[[#This Row],[profit]]&gt;5000000,"High",IF(Table1[[#This Row],[profit]]&gt;3000000,"Medium","Low"))</f>
        <v>High</v>
      </c>
      <c r="E158" t="str">
        <f>IF(Table1[[#This Row],[Status]]="Completed","Paid","Not Paid")</f>
        <v>Paid</v>
      </c>
    </row>
    <row r="159" spans="1:5" x14ac:dyDescent="0.25">
      <c r="A159" t="str">
        <f>IF(Table1[[#This Row],[Customer Name]]="Emma Clark","EMMA CLARK",Table1[[#This Row],[Customer Name]])</f>
        <v>Chris White</v>
      </c>
      <c r="B159" t="str">
        <f>IF(AND(Table1[[#This Row],[Price]]&gt;50,Table1[[#This Row],[Category]]="Footwear"),"High","Low")</f>
        <v>Low</v>
      </c>
      <c r="C159" t="str">
        <f>TEXT(Table1[[#This Row],[Date]],"MMM-YY")</f>
        <v>Feb-25</v>
      </c>
      <c r="D159" s="10" t="str">
        <f>IF(Table1[[#This Row],[profit]]&gt;5000000,"High",IF(Table1[[#This Row],[profit]]&gt;3000000,"Medium","Low"))</f>
        <v>Medium</v>
      </c>
      <c r="E159" t="str">
        <f>IF(Table1[[#This Row],[Status]]="Completed","Paid","Not Paid")</f>
        <v>Paid</v>
      </c>
    </row>
    <row r="160" spans="1:5" x14ac:dyDescent="0.25">
      <c r="A160" t="str">
        <f>IF(Table1[[#This Row],[Customer Name]]="Emma Clark","EMMA CLARK",Table1[[#This Row],[Customer Name]])</f>
        <v>David Lee</v>
      </c>
      <c r="B160" t="str">
        <f>IF(AND(Table1[[#This Row],[Price]]&gt;50,Table1[[#This Row],[Category]]="Footwear"),"High","Low")</f>
        <v>Low</v>
      </c>
      <c r="C160" t="str">
        <f>TEXT(Table1[[#This Row],[Date]],"MMM-YY")</f>
        <v>Feb-25</v>
      </c>
      <c r="D160" s="10" t="str">
        <f>IF(Table1[[#This Row],[profit]]&gt;5000000,"High",IF(Table1[[#This Row],[profit]]&gt;3000000,"Medium","Low"))</f>
        <v>Low</v>
      </c>
      <c r="E160" t="str">
        <f>IF(Table1[[#This Row],[Status]]="Completed","Paid","Not Paid")</f>
        <v>Not Paid</v>
      </c>
    </row>
    <row r="161" spans="1:5" x14ac:dyDescent="0.25">
      <c r="A161" t="str">
        <f>IF(Table1[[#This Row],[Customer Name]]="Emma Clark","EMMA CLARK",Table1[[#This Row],[Customer Name]])</f>
        <v>Olivia Wilson</v>
      </c>
      <c r="B161" t="str">
        <f>IF(AND(Table1[[#This Row],[Price]]&gt;50,Table1[[#This Row],[Category]]="Footwear"),"High","Low")</f>
        <v>Low</v>
      </c>
      <c r="C161" t="str">
        <f>TEXT(Table1[[#This Row],[Date]],"MMM-YY")</f>
        <v>Feb-25</v>
      </c>
      <c r="D161" s="10" t="str">
        <f>IF(Table1[[#This Row],[profit]]&gt;5000000,"High",IF(Table1[[#This Row],[profit]]&gt;3000000,"Medium","Low"))</f>
        <v>Low</v>
      </c>
      <c r="E161" t="str">
        <f>IF(Table1[[#This Row],[Status]]="Completed","Paid","Not Paid")</f>
        <v>Not Paid</v>
      </c>
    </row>
    <row r="162" spans="1:5" x14ac:dyDescent="0.25">
      <c r="A162" t="str">
        <f>IF(Table1[[#This Row],[Customer Name]]="Emma Clark","EMMA CLARK",Table1[[#This Row],[Customer Name]])</f>
        <v>Emily Johnson</v>
      </c>
      <c r="B162" t="str">
        <f>IF(AND(Table1[[#This Row],[Price]]&gt;50,Table1[[#This Row],[Category]]="Footwear"),"High","Low")</f>
        <v>Low</v>
      </c>
      <c r="C162" t="str">
        <f>TEXT(Table1[[#This Row],[Date]],"MMM-YY")</f>
        <v>Feb-25</v>
      </c>
      <c r="D162" s="10" t="str">
        <f>IF(Table1[[#This Row],[profit]]&gt;5000000,"High",IF(Table1[[#This Row],[profit]]&gt;3000000,"Medium","Low"))</f>
        <v>Low</v>
      </c>
      <c r="E162" t="str">
        <f>IF(Table1[[#This Row],[Status]]="Completed","Paid","Not Paid")</f>
        <v>Paid</v>
      </c>
    </row>
    <row r="163" spans="1:5" x14ac:dyDescent="0.25">
      <c r="A163" t="str">
        <f>IF(Table1[[#This Row],[Customer Name]]="Emma Clark","EMMA CLARK",Table1[[#This Row],[Customer Name]])</f>
        <v>Olivia Wilson</v>
      </c>
      <c r="B163" t="str">
        <f>IF(AND(Table1[[#This Row],[Price]]&gt;50,Table1[[#This Row],[Category]]="Footwear"),"High","Low")</f>
        <v>Low</v>
      </c>
      <c r="C163" t="str">
        <f>TEXT(Table1[[#This Row],[Date]],"MMM-YY")</f>
        <v>Feb-25</v>
      </c>
      <c r="D163" s="10" t="str">
        <f>IF(Table1[[#This Row],[profit]]&gt;5000000,"High",IF(Table1[[#This Row],[profit]]&gt;3000000,"Medium","Low"))</f>
        <v>High</v>
      </c>
      <c r="E163" t="str">
        <f>IF(Table1[[#This Row],[Status]]="Completed","Paid","Not Paid")</f>
        <v>Not Paid</v>
      </c>
    </row>
    <row r="164" spans="1:5" x14ac:dyDescent="0.25">
      <c r="A164" t="str">
        <f>IF(Table1[[#This Row],[Customer Name]]="Emma Clark","EMMA CLARK",Table1[[#This Row],[Customer Name]])</f>
        <v>Chris White</v>
      </c>
      <c r="B164" t="str">
        <f>IF(AND(Table1[[#This Row],[Price]]&gt;50,Table1[[#This Row],[Category]]="Footwear"),"High","Low")</f>
        <v>High</v>
      </c>
      <c r="C164" t="str">
        <f>TEXT(Table1[[#This Row],[Date]],"MMM-YY")</f>
        <v>Feb-25</v>
      </c>
      <c r="D164" s="10" t="str">
        <f>IF(Table1[[#This Row],[profit]]&gt;5000000,"High",IF(Table1[[#This Row],[profit]]&gt;3000000,"Medium","Low"))</f>
        <v>High</v>
      </c>
      <c r="E164" t="str">
        <f>IF(Table1[[#This Row],[Status]]="Completed","Paid","Not Paid")</f>
        <v>Paid</v>
      </c>
    </row>
    <row r="165" spans="1:5" x14ac:dyDescent="0.25">
      <c r="A165" t="str">
        <f>IF(Table1[[#This Row],[Customer Name]]="Emma Clark","EMMA CLARK",Table1[[#This Row],[Customer Name]])</f>
        <v>Michael Brown</v>
      </c>
      <c r="B165" t="str">
        <f>IF(AND(Table1[[#This Row],[Price]]&gt;50,Table1[[#This Row],[Category]]="Footwear"),"High","Low")</f>
        <v>Low</v>
      </c>
      <c r="C165" t="str">
        <f>TEXT(Table1[[#This Row],[Date]],"MMM-YY")</f>
        <v>Feb-25</v>
      </c>
      <c r="D165" s="10" t="str">
        <f>IF(Table1[[#This Row],[profit]]&gt;5000000,"High",IF(Table1[[#This Row],[profit]]&gt;3000000,"Medium","Low"))</f>
        <v>High</v>
      </c>
      <c r="E165" t="str">
        <f>IF(Table1[[#This Row],[Status]]="Completed","Paid","Not Paid")</f>
        <v>Not Paid</v>
      </c>
    </row>
    <row r="166" spans="1:5" x14ac:dyDescent="0.25">
      <c r="A166" t="str">
        <f>IF(Table1[[#This Row],[Customer Name]]="Emma Clark","EMMA CLARK",Table1[[#This Row],[Customer Name]])</f>
        <v>David Lee</v>
      </c>
      <c r="B166" t="str">
        <f>IF(AND(Table1[[#This Row],[Price]]&gt;50,Table1[[#This Row],[Category]]="Footwear"),"High","Low")</f>
        <v>Low</v>
      </c>
      <c r="C166" t="str">
        <f>TEXT(Table1[[#This Row],[Date]],"MMM-YY")</f>
        <v>Mar-25</v>
      </c>
      <c r="D166" s="10" t="str">
        <f>IF(Table1[[#This Row],[profit]]&gt;5000000,"High",IF(Table1[[#This Row],[profit]]&gt;3000000,"Medium","Low"))</f>
        <v>Low</v>
      </c>
      <c r="E166" t="str">
        <f>IF(Table1[[#This Row],[Status]]="Completed","Paid","Not Paid")</f>
        <v>Not Paid</v>
      </c>
    </row>
    <row r="167" spans="1:5" x14ac:dyDescent="0.25">
      <c r="A167" t="str">
        <f>IF(Table1[[#This Row],[Customer Name]]="Emma Clark","EMMA CLARK",Table1[[#This Row],[Customer Name]])</f>
        <v>Chris White</v>
      </c>
      <c r="B167" t="str">
        <f>IF(AND(Table1[[#This Row],[Price]]&gt;50,Table1[[#This Row],[Category]]="Footwear"),"High","Low")</f>
        <v>Low</v>
      </c>
      <c r="C167" t="str">
        <f>TEXT(Table1[[#This Row],[Date]],"MMM-YY")</f>
        <v>Mar-25</v>
      </c>
      <c r="D167" s="10" t="str">
        <f>IF(Table1[[#This Row],[profit]]&gt;5000000,"High",IF(Table1[[#This Row],[profit]]&gt;3000000,"Medium","Low"))</f>
        <v>Low</v>
      </c>
      <c r="E167" t="str">
        <f>IF(Table1[[#This Row],[Status]]="Completed","Paid","Not Paid")</f>
        <v>Not Paid</v>
      </c>
    </row>
    <row r="168" spans="1:5" x14ac:dyDescent="0.25">
      <c r="A168" t="str">
        <f>IF(Table1[[#This Row],[Customer Name]]="Emma Clark","EMMA CLARK",Table1[[#This Row],[Customer Name]])</f>
        <v>Olivia Wilson</v>
      </c>
      <c r="B168" t="str">
        <f>IF(AND(Table1[[#This Row],[Price]]&gt;50,Table1[[#This Row],[Category]]="Footwear"),"High","Low")</f>
        <v>Low</v>
      </c>
      <c r="C168" t="str">
        <f>TEXT(Table1[[#This Row],[Date]],"MMM-YY")</f>
        <v>Mar-25</v>
      </c>
      <c r="D168" s="10" t="str">
        <f>IF(Table1[[#This Row],[profit]]&gt;5000000,"High",IF(Table1[[#This Row],[profit]]&gt;3000000,"Medium","Low"))</f>
        <v>Low</v>
      </c>
      <c r="E168" t="str">
        <f>IF(Table1[[#This Row],[Status]]="Completed","Paid","Not Paid")</f>
        <v>Paid</v>
      </c>
    </row>
    <row r="169" spans="1:5" x14ac:dyDescent="0.25">
      <c r="A169" t="str">
        <f>IF(Table1[[#This Row],[Customer Name]]="Emma Clark","EMMA CLARK",Table1[[#This Row],[Customer Name]])</f>
        <v>Michael Brown</v>
      </c>
      <c r="B169" t="str">
        <f>IF(AND(Table1[[#This Row],[Price]]&gt;50,Table1[[#This Row],[Category]]="Footwear"),"High","Low")</f>
        <v>Low</v>
      </c>
      <c r="C169" t="str">
        <f>TEXT(Table1[[#This Row],[Date]],"MMM-YY")</f>
        <v>Mar-25</v>
      </c>
      <c r="D169" s="10" t="str">
        <f>IF(Table1[[#This Row],[profit]]&gt;5000000,"High",IF(Table1[[#This Row],[profit]]&gt;3000000,"Medium","Low"))</f>
        <v>Low</v>
      </c>
      <c r="E169" t="str">
        <f>IF(Table1[[#This Row],[Status]]="Completed","Paid","Not Paid")</f>
        <v>Not Paid</v>
      </c>
    </row>
    <row r="170" spans="1:5" x14ac:dyDescent="0.25">
      <c r="A170" t="str">
        <f>IF(Table1[[#This Row],[Customer Name]]="Emma Clark","EMMA CLARK",Table1[[#This Row],[Customer Name]])</f>
        <v>John Doe</v>
      </c>
      <c r="B170" t="str">
        <f>IF(AND(Table1[[#This Row],[Price]]&gt;50,Table1[[#This Row],[Category]]="Footwear"),"High","Low")</f>
        <v>Low</v>
      </c>
      <c r="C170" t="str">
        <f>TEXT(Table1[[#This Row],[Date]],"MMM-YY")</f>
        <v>Mar-25</v>
      </c>
      <c r="D170" s="10" t="str">
        <f>IF(Table1[[#This Row],[profit]]&gt;5000000,"High",IF(Table1[[#This Row],[profit]]&gt;3000000,"Medium","Low"))</f>
        <v>High</v>
      </c>
      <c r="E170" t="str">
        <f>IF(Table1[[#This Row],[Status]]="Completed","Paid","Not Paid")</f>
        <v>Paid</v>
      </c>
    </row>
    <row r="171" spans="1:5" x14ac:dyDescent="0.25">
      <c r="A171" t="str">
        <f>IF(Table1[[#This Row],[Customer Name]]="Emma Clark","EMMA CLARK",Table1[[#This Row],[Customer Name]])</f>
        <v>EMMA CLARK</v>
      </c>
      <c r="B171" t="str">
        <f>IF(AND(Table1[[#This Row],[Price]]&gt;50,Table1[[#This Row],[Category]]="Footwear"),"High","Low")</f>
        <v>Low</v>
      </c>
      <c r="C171" t="str">
        <f>TEXT(Table1[[#This Row],[Date]],"MMM-YY")</f>
        <v>Feb-25</v>
      </c>
      <c r="D171" s="10" t="str">
        <f>IF(Table1[[#This Row],[profit]]&gt;5000000,"High",IF(Table1[[#This Row],[profit]]&gt;3000000,"Medium","Low"))</f>
        <v>High</v>
      </c>
      <c r="E171" t="str">
        <f>IF(Table1[[#This Row],[Status]]="Completed","Paid","Not Paid")</f>
        <v>Not Paid</v>
      </c>
    </row>
    <row r="172" spans="1:5" x14ac:dyDescent="0.25">
      <c r="A172" t="str">
        <f>IF(Table1[[#This Row],[Customer Name]]="Emma Clark","EMMA CLARK",Table1[[#This Row],[Customer Name]])</f>
        <v>Daniel Harris</v>
      </c>
      <c r="B172" t="str">
        <f>IF(AND(Table1[[#This Row],[Price]]&gt;50,Table1[[#This Row],[Category]]="Footwear"),"High","Low")</f>
        <v>Low</v>
      </c>
      <c r="C172" t="str">
        <f>TEXT(Table1[[#This Row],[Date]],"MMM-YY")</f>
        <v>Feb-25</v>
      </c>
      <c r="D172" s="10" t="str">
        <f>IF(Table1[[#This Row],[profit]]&gt;5000000,"High",IF(Table1[[#This Row],[profit]]&gt;3000000,"Medium","Low"))</f>
        <v>High</v>
      </c>
      <c r="E172" t="str">
        <f>IF(Table1[[#This Row],[Status]]="Completed","Paid","Not Paid")</f>
        <v>Paid</v>
      </c>
    </row>
    <row r="173" spans="1:5" x14ac:dyDescent="0.25">
      <c r="A173" t="str">
        <f>IF(Table1[[#This Row],[Customer Name]]="Emma Clark","EMMA CLARK",Table1[[#This Row],[Customer Name]])</f>
        <v>David Lee</v>
      </c>
      <c r="B173" t="str">
        <f>IF(AND(Table1[[#This Row],[Price]]&gt;50,Table1[[#This Row],[Category]]="Footwear"),"High","Low")</f>
        <v>Low</v>
      </c>
      <c r="C173" t="str">
        <f>TEXT(Table1[[#This Row],[Date]],"MMM-YY")</f>
        <v>Mar-25</v>
      </c>
      <c r="D173" s="10" t="str">
        <f>IF(Table1[[#This Row],[profit]]&gt;5000000,"High",IF(Table1[[#This Row],[profit]]&gt;3000000,"Medium","Low"))</f>
        <v>High</v>
      </c>
      <c r="E173" t="str">
        <f>IF(Table1[[#This Row],[Status]]="Completed","Paid","Not Paid")</f>
        <v>Paid</v>
      </c>
    </row>
    <row r="174" spans="1:5" x14ac:dyDescent="0.25">
      <c r="A174" t="str">
        <f>IF(Table1[[#This Row],[Customer Name]]="Emma Clark","EMMA CLARK",Table1[[#This Row],[Customer Name]])</f>
        <v>Olivia Wilson</v>
      </c>
      <c r="B174" t="str">
        <f>IF(AND(Table1[[#This Row],[Price]]&gt;50,Table1[[#This Row],[Category]]="Footwear"),"High","Low")</f>
        <v>Low</v>
      </c>
      <c r="C174" t="str">
        <f>TEXT(Table1[[#This Row],[Date]],"MMM-YY")</f>
        <v>Feb-25</v>
      </c>
      <c r="D174" s="10" t="str">
        <f>IF(Table1[[#This Row],[profit]]&gt;5000000,"High",IF(Table1[[#This Row],[profit]]&gt;3000000,"Medium","Low"))</f>
        <v>Medium</v>
      </c>
      <c r="E174" t="str">
        <f>IF(Table1[[#This Row],[Status]]="Completed","Paid","Not Paid")</f>
        <v>Not Paid</v>
      </c>
    </row>
    <row r="175" spans="1:5" x14ac:dyDescent="0.25">
      <c r="A175" t="str">
        <f>IF(Table1[[#This Row],[Customer Name]]="Emma Clark","EMMA CLARK",Table1[[#This Row],[Customer Name]])</f>
        <v>David Lee</v>
      </c>
      <c r="B175" t="str">
        <f>IF(AND(Table1[[#This Row],[Price]]&gt;50,Table1[[#This Row],[Category]]="Footwear"),"High","Low")</f>
        <v>Low</v>
      </c>
      <c r="C175" t="str">
        <f>TEXT(Table1[[#This Row],[Date]],"MMM-YY")</f>
        <v>Mar-25</v>
      </c>
      <c r="D175" s="10" t="str">
        <f>IF(Table1[[#This Row],[profit]]&gt;5000000,"High",IF(Table1[[#This Row],[profit]]&gt;3000000,"Medium","Low"))</f>
        <v>Low</v>
      </c>
      <c r="E175" t="str">
        <f>IF(Table1[[#This Row],[Status]]="Completed","Paid","Not Paid")</f>
        <v>Paid</v>
      </c>
    </row>
    <row r="176" spans="1:5" x14ac:dyDescent="0.25">
      <c r="A176" t="str">
        <f>IF(Table1[[#This Row],[Customer Name]]="Emma Clark","EMMA CLARK",Table1[[#This Row],[Customer Name]])</f>
        <v>David Lee</v>
      </c>
      <c r="B176" t="str">
        <f>IF(AND(Table1[[#This Row],[Price]]&gt;50,Table1[[#This Row],[Category]]="Footwear"),"High","Low")</f>
        <v>Low</v>
      </c>
      <c r="C176" t="str">
        <f>TEXT(Table1[[#This Row],[Date]],"MMM-YY")</f>
        <v>Mar-25</v>
      </c>
      <c r="D176" s="10" t="str">
        <f>IF(Table1[[#This Row],[profit]]&gt;5000000,"High",IF(Table1[[#This Row],[profit]]&gt;3000000,"Medium","Low"))</f>
        <v>Low</v>
      </c>
      <c r="E176" t="str">
        <f>IF(Table1[[#This Row],[Status]]="Completed","Paid","Not Paid")</f>
        <v>Not Paid</v>
      </c>
    </row>
    <row r="177" spans="1:5" x14ac:dyDescent="0.25">
      <c r="A177" t="str">
        <f>IF(Table1[[#This Row],[Customer Name]]="Emma Clark","EMMA CLARK",Table1[[#This Row],[Customer Name]])</f>
        <v>Michael Brown</v>
      </c>
      <c r="B177" t="str">
        <f>IF(AND(Table1[[#This Row],[Price]]&gt;50,Table1[[#This Row],[Category]]="Footwear"),"High","Low")</f>
        <v>Low</v>
      </c>
      <c r="C177" t="str">
        <f>TEXT(Table1[[#This Row],[Date]],"MMM-YY")</f>
        <v>Mar-25</v>
      </c>
      <c r="D177" s="10" t="str">
        <f>IF(Table1[[#This Row],[profit]]&gt;5000000,"High",IF(Table1[[#This Row],[profit]]&gt;3000000,"Medium","Low"))</f>
        <v>High</v>
      </c>
      <c r="E177" t="str">
        <f>IF(Table1[[#This Row],[Status]]="Completed","Paid","Not Paid")</f>
        <v>Not Paid</v>
      </c>
    </row>
    <row r="178" spans="1:5" x14ac:dyDescent="0.25">
      <c r="A178" t="str">
        <f>IF(Table1[[#This Row],[Customer Name]]="Emma Clark","EMMA CLARK",Table1[[#This Row],[Customer Name]])</f>
        <v>David Lee</v>
      </c>
      <c r="B178" t="str">
        <f>IF(AND(Table1[[#This Row],[Price]]&gt;50,Table1[[#This Row],[Category]]="Footwear"),"High","Low")</f>
        <v>Low</v>
      </c>
      <c r="C178" t="str">
        <f>TEXT(Table1[[#This Row],[Date]],"MMM-YY")</f>
        <v>Mar-25</v>
      </c>
      <c r="D178" s="10" t="str">
        <f>IF(Table1[[#This Row],[profit]]&gt;5000000,"High",IF(Table1[[#This Row],[profit]]&gt;3000000,"Medium","Low"))</f>
        <v>High</v>
      </c>
      <c r="E178" t="str">
        <f>IF(Table1[[#This Row],[Status]]="Completed","Paid","Not Paid")</f>
        <v>Not Paid</v>
      </c>
    </row>
    <row r="179" spans="1:5" x14ac:dyDescent="0.25">
      <c r="A179" t="str">
        <f>IF(Table1[[#This Row],[Customer Name]]="Emma Clark","EMMA CLARK",Table1[[#This Row],[Customer Name]])</f>
        <v>Emily Johnson</v>
      </c>
      <c r="B179" t="str">
        <f>IF(AND(Table1[[#This Row],[Price]]&gt;50,Table1[[#This Row],[Category]]="Footwear"),"High","Low")</f>
        <v>Low</v>
      </c>
      <c r="C179" t="str">
        <f>TEXT(Table1[[#This Row],[Date]],"MMM-YY")</f>
        <v>Feb-25</v>
      </c>
      <c r="D179" s="10" t="str">
        <f>IF(Table1[[#This Row],[profit]]&gt;5000000,"High",IF(Table1[[#This Row],[profit]]&gt;3000000,"Medium","Low"))</f>
        <v>Low</v>
      </c>
      <c r="E179" t="str">
        <f>IF(Table1[[#This Row],[Status]]="Completed","Paid","Not Paid")</f>
        <v>Paid</v>
      </c>
    </row>
    <row r="180" spans="1:5" x14ac:dyDescent="0.25">
      <c r="A180" t="str">
        <f>IF(Table1[[#This Row],[Customer Name]]="Emma Clark","EMMA CLARK",Table1[[#This Row],[Customer Name]])</f>
        <v>Olivia Wilson</v>
      </c>
      <c r="B180" t="str">
        <f>IF(AND(Table1[[#This Row],[Price]]&gt;50,Table1[[#This Row],[Category]]="Footwear"),"High","Low")</f>
        <v>Low</v>
      </c>
      <c r="C180" t="str">
        <f>TEXT(Table1[[#This Row],[Date]],"MMM-YY")</f>
        <v>Mar-25</v>
      </c>
      <c r="D180" s="10" t="str">
        <f>IF(Table1[[#This Row],[profit]]&gt;5000000,"High",IF(Table1[[#This Row],[profit]]&gt;3000000,"Medium","Low"))</f>
        <v>High</v>
      </c>
      <c r="E180" t="str">
        <f>IF(Table1[[#This Row],[Status]]="Completed","Paid","Not Paid")</f>
        <v>Paid</v>
      </c>
    </row>
    <row r="181" spans="1:5" x14ac:dyDescent="0.25">
      <c r="A181" t="str">
        <f>IF(Table1[[#This Row],[Customer Name]]="Emma Clark","EMMA CLARK",Table1[[#This Row],[Customer Name]])</f>
        <v>David Lee</v>
      </c>
      <c r="B181" t="str">
        <f>IF(AND(Table1[[#This Row],[Price]]&gt;50,Table1[[#This Row],[Category]]="Footwear"),"High","Low")</f>
        <v>Low</v>
      </c>
      <c r="C181" t="str">
        <f>TEXT(Table1[[#This Row],[Date]],"MMM-YY")</f>
        <v>Mar-25</v>
      </c>
      <c r="D181" s="10" t="str">
        <f>IF(Table1[[#This Row],[profit]]&gt;5000000,"High",IF(Table1[[#This Row],[profit]]&gt;3000000,"Medium","Low"))</f>
        <v>Low</v>
      </c>
      <c r="E181" t="str">
        <f>IF(Table1[[#This Row],[Status]]="Completed","Paid","Not Paid")</f>
        <v>Paid</v>
      </c>
    </row>
    <row r="182" spans="1:5" x14ac:dyDescent="0.25">
      <c r="A182" t="str">
        <f>IF(Table1[[#This Row],[Customer Name]]="Emma Clark","EMMA CLARK",Table1[[#This Row],[Customer Name]])</f>
        <v>David Lee</v>
      </c>
      <c r="B182" t="str">
        <f>IF(AND(Table1[[#This Row],[Price]]&gt;50,Table1[[#This Row],[Category]]="Footwear"),"High","Low")</f>
        <v>High</v>
      </c>
      <c r="C182" t="str">
        <f>TEXT(Table1[[#This Row],[Date]],"MMM-YY")</f>
        <v>Mar-25</v>
      </c>
      <c r="D182" s="10" t="str">
        <f>IF(Table1[[#This Row],[profit]]&gt;5000000,"High",IF(Table1[[#This Row],[profit]]&gt;3000000,"Medium","Low"))</f>
        <v>Low</v>
      </c>
      <c r="E182" t="str">
        <f>IF(Table1[[#This Row],[Status]]="Completed","Paid","Not Paid")</f>
        <v>Not Paid</v>
      </c>
    </row>
    <row r="183" spans="1:5" x14ac:dyDescent="0.25">
      <c r="A183" t="str">
        <f>IF(Table1[[#This Row],[Customer Name]]="Emma Clark","EMMA CLARK",Table1[[#This Row],[Customer Name]])</f>
        <v>EMMA CLARK</v>
      </c>
      <c r="B183" t="str">
        <f>IF(AND(Table1[[#This Row],[Price]]&gt;50,Table1[[#This Row],[Category]]="Footwear"),"High","Low")</f>
        <v>Low</v>
      </c>
      <c r="C183" t="str">
        <f>TEXT(Table1[[#This Row],[Date]],"MMM-YY")</f>
        <v>Apr-25</v>
      </c>
      <c r="D183" s="10" t="str">
        <f>IF(Table1[[#This Row],[profit]]&gt;5000000,"High",IF(Table1[[#This Row],[profit]]&gt;3000000,"Medium","Low"))</f>
        <v>Low</v>
      </c>
      <c r="E183" t="str">
        <f>IF(Table1[[#This Row],[Status]]="Completed","Paid","Not Paid")</f>
        <v>Not Paid</v>
      </c>
    </row>
    <row r="184" spans="1:5" x14ac:dyDescent="0.25">
      <c r="A184" t="str">
        <f>IF(Table1[[#This Row],[Customer Name]]="Emma Clark","EMMA CLARK",Table1[[#This Row],[Customer Name]])</f>
        <v>EMMA CLARK</v>
      </c>
      <c r="B184" t="str">
        <f>IF(AND(Table1[[#This Row],[Price]]&gt;50,Table1[[#This Row],[Category]]="Footwear"),"High","Low")</f>
        <v>Low</v>
      </c>
      <c r="C184" t="str">
        <f>TEXT(Table1[[#This Row],[Date]],"MMM-YY")</f>
        <v>Mar-25</v>
      </c>
      <c r="D184" s="10" t="str">
        <f>IF(Table1[[#This Row],[profit]]&gt;5000000,"High",IF(Table1[[#This Row],[profit]]&gt;3000000,"Medium","Low"))</f>
        <v>Low</v>
      </c>
      <c r="E184" t="str">
        <f>IF(Table1[[#This Row],[Status]]="Completed","Paid","Not Paid")</f>
        <v>Paid</v>
      </c>
    </row>
    <row r="185" spans="1:5" x14ac:dyDescent="0.25">
      <c r="A185" t="str">
        <f>IF(Table1[[#This Row],[Customer Name]]="Emma Clark","EMMA CLARK",Table1[[#This Row],[Customer Name]])</f>
        <v>Daniel Harris</v>
      </c>
      <c r="B185" t="str">
        <f>IF(AND(Table1[[#This Row],[Price]]&gt;50,Table1[[#This Row],[Category]]="Footwear"),"High","Low")</f>
        <v>Low</v>
      </c>
      <c r="C185" t="str">
        <f>TEXT(Table1[[#This Row],[Date]],"MMM-YY")</f>
        <v>Feb-25</v>
      </c>
      <c r="D185" s="10" t="str">
        <f>IF(Table1[[#This Row],[profit]]&gt;5000000,"High",IF(Table1[[#This Row],[profit]]&gt;3000000,"Medium","Low"))</f>
        <v>Low</v>
      </c>
      <c r="E185" t="str">
        <f>IF(Table1[[#This Row],[Status]]="Completed","Paid","Not Paid")</f>
        <v>Not Paid</v>
      </c>
    </row>
    <row r="186" spans="1:5" x14ac:dyDescent="0.25">
      <c r="A186" t="str">
        <f>IF(Table1[[#This Row],[Customer Name]]="Emma Clark","EMMA CLARK",Table1[[#This Row],[Customer Name]])</f>
        <v>Chris White</v>
      </c>
      <c r="B186" t="str">
        <f>IF(AND(Table1[[#This Row],[Price]]&gt;50,Table1[[#This Row],[Category]]="Footwear"),"High","Low")</f>
        <v>Low</v>
      </c>
      <c r="C186" t="str">
        <f>TEXT(Table1[[#This Row],[Date]],"MMM-YY")</f>
        <v>Mar-25</v>
      </c>
      <c r="D186" s="10" t="str">
        <f>IF(Table1[[#This Row],[profit]]&gt;5000000,"High",IF(Table1[[#This Row],[profit]]&gt;3000000,"Medium","Low"))</f>
        <v>Low</v>
      </c>
      <c r="E186" t="str">
        <f>IF(Table1[[#This Row],[Status]]="Completed","Paid","Not Paid")</f>
        <v>Paid</v>
      </c>
    </row>
    <row r="187" spans="1:5" x14ac:dyDescent="0.25">
      <c r="A187" t="str">
        <f>IF(Table1[[#This Row],[Customer Name]]="Emma Clark","EMMA CLARK",Table1[[#This Row],[Customer Name]])</f>
        <v>Michael Brown</v>
      </c>
      <c r="B187" t="str">
        <f>IF(AND(Table1[[#This Row],[Price]]&gt;50,Table1[[#This Row],[Category]]="Footwear"),"High","Low")</f>
        <v>Low</v>
      </c>
      <c r="C187" t="str">
        <f>TEXT(Table1[[#This Row],[Date]],"MMM-YY")</f>
        <v>Mar-25</v>
      </c>
      <c r="D187" s="10" t="str">
        <f>IF(Table1[[#This Row],[profit]]&gt;5000000,"High",IF(Table1[[#This Row],[profit]]&gt;3000000,"Medium","Low"))</f>
        <v>Low</v>
      </c>
      <c r="E187" t="str">
        <f>IF(Table1[[#This Row],[Status]]="Completed","Paid","Not Paid")</f>
        <v>Paid</v>
      </c>
    </row>
    <row r="188" spans="1:5" x14ac:dyDescent="0.25">
      <c r="A188" t="str">
        <f>IF(Table1[[#This Row],[Customer Name]]="Emma Clark","EMMA CLARK",Table1[[#This Row],[Customer Name]])</f>
        <v>John Doe</v>
      </c>
      <c r="B188" t="str">
        <f>IF(AND(Table1[[#This Row],[Price]]&gt;50,Table1[[#This Row],[Category]]="Footwear"),"High","Low")</f>
        <v>Low</v>
      </c>
      <c r="C188" t="str">
        <f>TEXT(Table1[[#This Row],[Date]],"MMM-YY")</f>
        <v>Mar-25</v>
      </c>
      <c r="D188" s="10" t="str">
        <f>IF(Table1[[#This Row],[profit]]&gt;5000000,"High",IF(Table1[[#This Row],[profit]]&gt;3000000,"Medium","Low"))</f>
        <v>Low</v>
      </c>
      <c r="E188" t="str">
        <f>IF(Table1[[#This Row],[Status]]="Completed","Paid","Not Paid")</f>
        <v>Not Paid</v>
      </c>
    </row>
    <row r="189" spans="1:5" x14ac:dyDescent="0.25">
      <c r="A189" t="str">
        <f>IF(Table1[[#This Row],[Customer Name]]="Emma Clark","EMMA CLARK",Table1[[#This Row],[Customer Name]])</f>
        <v>John Doe</v>
      </c>
      <c r="B189" t="str">
        <f>IF(AND(Table1[[#This Row],[Price]]&gt;50,Table1[[#This Row],[Category]]="Footwear"),"High","Low")</f>
        <v>Low</v>
      </c>
      <c r="C189" t="str">
        <f>TEXT(Table1[[#This Row],[Date]],"MMM-YY")</f>
        <v>Feb-25</v>
      </c>
      <c r="D189" s="10" t="str">
        <f>IF(Table1[[#This Row],[profit]]&gt;5000000,"High",IF(Table1[[#This Row],[profit]]&gt;3000000,"Medium","Low"))</f>
        <v>Low</v>
      </c>
      <c r="E189" t="str">
        <f>IF(Table1[[#This Row],[Status]]="Completed","Paid","Not Paid")</f>
        <v>Paid</v>
      </c>
    </row>
    <row r="190" spans="1:5" x14ac:dyDescent="0.25">
      <c r="A190" t="str">
        <f>IF(Table1[[#This Row],[Customer Name]]="Emma Clark","EMMA CLARK",Table1[[#This Row],[Customer Name]])</f>
        <v>Jane Smith</v>
      </c>
      <c r="B190" t="str">
        <f>IF(AND(Table1[[#This Row],[Price]]&gt;50,Table1[[#This Row],[Category]]="Footwear"),"High","Low")</f>
        <v>Low</v>
      </c>
      <c r="C190" t="str">
        <f>TEXT(Table1[[#This Row],[Date]],"MMM-YY")</f>
        <v>Feb-25</v>
      </c>
      <c r="D190" s="10" t="str">
        <f>IF(Table1[[#This Row],[profit]]&gt;5000000,"High",IF(Table1[[#This Row],[profit]]&gt;3000000,"Medium","Low"))</f>
        <v>High</v>
      </c>
      <c r="E190" t="str">
        <f>IF(Table1[[#This Row],[Status]]="Completed","Paid","Not Paid")</f>
        <v>Paid</v>
      </c>
    </row>
    <row r="191" spans="1:5" x14ac:dyDescent="0.25">
      <c r="A191" t="str">
        <f>IF(Table1[[#This Row],[Customer Name]]="Emma Clark","EMMA CLARK",Table1[[#This Row],[Customer Name]])</f>
        <v>Sophia Miller</v>
      </c>
      <c r="B191" t="str">
        <f>IF(AND(Table1[[#This Row],[Price]]&gt;50,Table1[[#This Row],[Category]]="Footwear"),"High","Low")</f>
        <v>High</v>
      </c>
      <c r="C191" t="str">
        <f>TEXT(Table1[[#This Row],[Date]],"MMM-YY")</f>
        <v>Feb-25</v>
      </c>
      <c r="D191" s="10" t="str">
        <f>IF(Table1[[#This Row],[profit]]&gt;5000000,"High",IF(Table1[[#This Row],[profit]]&gt;3000000,"Medium","Low"))</f>
        <v>High</v>
      </c>
      <c r="E191" t="str">
        <f>IF(Table1[[#This Row],[Status]]="Completed","Paid","Not Paid")</f>
        <v>Paid</v>
      </c>
    </row>
    <row r="192" spans="1:5" x14ac:dyDescent="0.25">
      <c r="A192" t="str">
        <f>IF(Table1[[#This Row],[Customer Name]]="Emma Clark","EMMA CLARK",Table1[[#This Row],[Customer Name]])</f>
        <v>John Doe</v>
      </c>
      <c r="B192" t="str">
        <f>IF(AND(Table1[[#This Row],[Price]]&gt;50,Table1[[#This Row],[Category]]="Footwear"),"High","Low")</f>
        <v>Low</v>
      </c>
      <c r="C192" t="str">
        <f>TEXT(Table1[[#This Row],[Date]],"MMM-YY")</f>
        <v>Feb-25</v>
      </c>
      <c r="D192" s="10" t="str">
        <f>IF(Table1[[#This Row],[profit]]&gt;5000000,"High",IF(Table1[[#This Row],[profit]]&gt;3000000,"Medium","Low"))</f>
        <v>High</v>
      </c>
      <c r="E192" t="str">
        <f>IF(Table1[[#This Row],[Status]]="Completed","Paid","Not Paid")</f>
        <v>Not Paid</v>
      </c>
    </row>
    <row r="193" spans="1:5" x14ac:dyDescent="0.25">
      <c r="A193" t="str">
        <f>IF(Table1[[#This Row],[Customer Name]]="Emma Clark","EMMA CLARK",Table1[[#This Row],[Customer Name]])</f>
        <v>Sophia Miller</v>
      </c>
      <c r="B193" t="str">
        <f>IF(AND(Table1[[#This Row],[Price]]&gt;50,Table1[[#This Row],[Category]]="Footwear"),"High","Low")</f>
        <v>Low</v>
      </c>
      <c r="C193" t="str">
        <f>TEXT(Table1[[#This Row],[Date]],"MMM-YY")</f>
        <v>Mar-25</v>
      </c>
      <c r="D193" s="10" t="str">
        <f>IF(Table1[[#This Row],[profit]]&gt;5000000,"High",IF(Table1[[#This Row],[profit]]&gt;3000000,"Medium","Low"))</f>
        <v>Low</v>
      </c>
      <c r="E193" t="str">
        <f>IF(Table1[[#This Row],[Status]]="Completed","Paid","Not Paid")</f>
        <v>Not Paid</v>
      </c>
    </row>
    <row r="194" spans="1:5" x14ac:dyDescent="0.25">
      <c r="A194" t="str">
        <f>IF(Table1[[#This Row],[Customer Name]]="Emma Clark","EMMA CLARK",Table1[[#This Row],[Customer Name]])</f>
        <v>David Lee</v>
      </c>
      <c r="B194" t="str">
        <f>IF(AND(Table1[[#This Row],[Price]]&gt;50,Table1[[#This Row],[Category]]="Footwear"),"High","Low")</f>
        <v>Low</v>
      </c>
      <c r="C194" t="str">
        <f>TEXT(Table1[[#This Row],[Date]],"MMM-YY")</f>
        <v>Mar-25</v>
      </c>
      <c r="D194" s="10" t="str">
        <f>IF(Table1[[#This Row],[profit]]&gt;5000000,"High",IF(Table1[[#This Row],[profit]]&gt;3000000,"Medium","Low"))</f>
        <v>Medium</v>
      </c>
      <c r="E194" t="str">
        <f>IF(Table1[[#This Row],[Status]]="Completed","Paid","Not Paid")</f>
        <v>Not Paid</v>
      </c>
    </row>
    <row r="195" spans="1:5" x14ac:dyDescent="0.25">
      <c r="A195" t="str">
        <f>IF(Table1[[#This Row],[Customer Name]]="Emma Clark","EMMA CLARK",Table1[[#This Row],[Customer Name]])</f>
        <v>John Doe</v>
      </c>
      <c r="B195" t="str">
        <f>IF(AND(Table1[[#This Row],[Price]]&gt;50,Table1[[#This Row],[Category]]="Footwear"),"High","Low")</f>
        <v>Low</v>
      </c>
      <c r="C195" t="str">
        <f>TEXT(Table1[[#This Row],[Date]],"MMM-YY")</f>
        <v>Feb-25</v>
      </c>
      <c r="D195" s="10" t="str">
        <f>IF(Table1[[#This Row],[profit]]&gt;5000000,"High",IF(Table1[[#This Row],[profit]]&gt;3000000,"Medium","Low"))</f>
        <v>Medium</v>
      </c>
      <c r="E195" t="str">
        <f>IF(Table1[[#This Row],[Status]]="Completed","Paid","Not Paid")</f>
        <v>Paid</v>
      </c>
    </row>
    <row r="196" spans="1:5" x14ac:dyDescent="0.25">
      <c r="A196" t="str">
        <f>IF(Table1[[#This Row],[Customer Name]]="Emma Clark","EMMA CLARK",Table1[[#This Row],[Customer Name]])</f>
        <v>Olivia Wilson</v>
      </c>
      <c r="B196" t="str">
        <f>IF(AND(Table1[[#This Row],[Price]]&gt;50,Table1[[#This Row],[Category]]="Footwear"),"High","Low")</f>
        <v>Low</v>
      </c>
      <c r="C196" t="str">
        <f>TEXT(Table1[[#This Row],[Date]],"MMM-YY")</f>
        <v>Mar-25</v>
      </c>
      <c r="D196" s="10" t="str">
        <f>IF(Table1[[#This Row],[profit]]&gt;5000000,"High",IF(Table1[[#This Row],[profit]]&gt;3000000,"Medium","Low"))</f>
        <v>Low</v>
      </c>
      <c r="E196" t="str">
        <f>IF(Table1[[#This Row],[Status]]="Completed","Paid","Not Paid")</f>
        <v>Not Paid</v>
      </c>
    </row>
    <row r="197" spans="1:5" x14ac:dyDescent="0.25">
      <c r="A197" t="str">
        <f>IF(Table1[[#This Row],[Customer Name]]="Emma Clark","EMMA CLARK",Table1[[#This Row],[Customer Name]])</f>
        <v>Daniel Harris</v>
      </c>
      <c r="B197" t="str">
        <f>IF(AND(Table1[[#This Row],[Price]]&gt;50,Table1[[#This Row],[Category]]="Footwear"),"High","Low")</f>
        <v>Low</v>
      </c>
      <c r="C197" t="str">
        <f>TEXT(Table1[[#This Row],[Date]],"MMM-YY")</f>
        <v>Mar-25</v>
      </c>
      <c r="D197" s="10" t="str">
        <f>IF(Table1[[#This Row],[profit]]&gt;5000000,"High",IF(Table1[[#This Row],[profit]]&gt;3000000,"Medium","Low"))</f>
        <v>High</v>
      </c>
      <c r="E197" t="str">
        <f>IF(Table1[[#This Row],[Status]]="Completed","Paid","Not Paid")</f>
        <v>Paid</v>
      </c>
    </row>
    <row r="198" spans="1:5" x14ac:dyDescent="0.25">
      <c r="A198" t="str">
        <f>IF(Table1[[#This Row],[Customer Name]]="Emma Clark","EMMA CLARK",Table1[[#This Row],[Customer Name]])</f>
        <v>Michael Brown</v>
      </c>
      <c r="B198" t="str">
        <f>IF(AND(Table1[[#This Row],[Price]]&gt;50,Table1[[#This Row],[Category]]="Footwear"),"High","Low")</f>
        <v>High</v>
      </c>
      <c r="C198" t="str">
        <f>TEXT(Table1[[#This Row],[Date]],"MMM-YY")</f>
        <v>Mar-25</v>
      </c>
      <c r="D198" s="10" t="str">
        <f>IF(Table1[[#This Row],[profit]]&gt;5000000,"High",IF(Table1[[#This Row],[profit]]&gt;3000000,"Medium","Low"))</f>
        <v>High</v>
      </c>
      <c r="E198" t="str">
        <f>IF(Table1[[#This Row],[Status]]="Completed","Paid","Not Paid")</f>
        <v>Not Paid</v>
      </c>
    </row>
    <row r="199" spans="1:5" x14ac:dyDescent="0.25">
      <c r="A199" t="str">
        <f>IF(Table1[[#This Row],[Customer Name]]="Emma Clark","EMMA CLARK",Table1[[#This Row],[Customer Name]])</f>
        <v>Jane Smith</v>
      </c>
      <c r="B199" t="str">
        <f>IF(AND(Table1[[#This Row],[Price]]&gt;50,Table1[[#This Row],[Category]]="Footwear"),"High","Low")</f>
        <v>Low</v>
      </c>
      <c r="C199" t="str">
        <f>TEXT(Table1[[#This Row],[Date]],"MMM-YY")</f>
        <v>Feb-25</v>
      </c>
      <c r="D199" s="10" t="str">
        <f>IF(Table1[[#This Row],[profit]]&gt;5000000,"High",IF(Table1[[#This Row],[profit]]&gt;3000000,"Medium","Low"))</f>
        <v>High</v>
      </c>
      <c r="E199" t="str">
        <f>IF(Table1[[#This Row],[Status]]="Completed","Paid","Not Paid")</f>
        <v>Not Paid</v>
      </c>
    </row>
    <row r="200" spans="1:5" x14ac:dyDescent="0.25">
      <c r="A200" t="str">
        <f>IF(Table1[[#This Row],[Customer Name]]="Emma Clark","EMMA CLARK",Table1[[#This Row],[Customer Name]])</f>
        <v>Chris White</v>
      </c>
      <c r="B200" t="str">
        <f>IF(AND(Table1[[#This Row],[Price]]&gt;50,Table1[[#This Row],[Category]]="Footwear"),"High","Low")</f>
        <v>Low</v>
      </c>
      <c r="C200" t="str">
        <f>TEXT(Table1[[#This Row],[Date]],"MMM-YY")</f>
        <v>Feb-25</v>
      </c>
      <c r="D200" s="10" t="str">
        <f>IF(Table1[[#This Row],[profit]]&gt;5000000,"High",IF(Table1[[#This Row],[profit]]&gt;3000000,"Medium","Low"))</f>
        <v>High</v>
      </c>
      <c r="E200" t="str">
        <f>IF(Table1[[#This Row],[Status]]="Completed","Paid","Not Paid")</f>
        <v>Not Paid</v>
      </c>
    </row>
    <row r="201" spans="1:5" x14ac:dyDescent="0.25">
      <c r="A201" t="str">
        <f>IF(Table1[[#This Row],[Customer Name]]="Emma Clark","EMMA CLARK",Table1[[#This Row],[Customer Name]])</f>
        <v>Chris White</v>
      </c>
      <c r="B201" t="str">
        <f>IF(AND(Table1[[#This Row],[Price]]&gt;50,Table1[[#This Row],[Category]]="Footwear"),"High","Low")</f>
        <v>Low</v>
      </c>
      <c r="C201" t="str">
        <f>TEXT(Table1[[#This Row],[Date]],"MMM-YY")</f>
        <v>Feb-25</v>
      </c>
      <c r="D201" s="10" t="str">
        <f>IF(Table1[[#This Row],[profit]]&gt;5000000,"High",IF(Table1[[#This Row],[profit]]&gt;3000000,"Medium","Low"))</f>
        <v>High</v>
      </c>
      <c r="E201" t="str">
        <f>IF(Table1[[#This Row],[Status]]="Completed","Paid","Not Paid")</f>
        <v>Paid</v>
      </c>
    </row>
    <row r="202" spans="1:5" x14ac:dyDescent="0.25">
      <c r="A202" t="str">
        <f>IF(Table1[[#This Row],[Customer Name]]="Emma Clark","EMMA CLARK",Table1[[#This Row],[Customer Name]])</f>
        <v>Michael Brown</v>
      </c>
      <c r="B202" t="str">
        <f>IF(AND(Table1[[#This Row],[Price]]&gt;50,Table1[[#This Row],[Category]]="Footwear"),"High","Low")</f>
        <v>Low</v>
      </c>
      <c r="C202" t="str">
        <f>TEXT(Table1[[#This Row],[Date]],"MMM-YY")</f>
        <v>Feb-25</v>
      </c>
      <c r="D202" s="10" t="str">
        <f>IF(Table1[[#This Row],[profit]]&gt;5000000,"High",IF(Table1[[#This Row],[profit]]&gt;3000000,"Medium","Low"))</f>
        <v>Low</v>
      </c>
      <c r="E202" t="str">
        <f>IF(Table1[[#This Row],[Status]]="Completed","Paid","Not Paid")</f>
        <v>Paid</v>
      </c>
    </row>
    <row r="203" spans="1:5" x14ac:dyDescent="0.25">
      <c r="A203" t="str">
        <f>IF(Table1[[#This Row],[Customer Name]]="Emma Clark","EMMA CLARK",Table1[[#This Row],[Customer Name]])</f>
        <v>Daniel Harris</v>
      </c>
      <c r="B203" t="str">
        <f>IF(AND(Table1[[#This Row],[Price]]&gt;50,Table1[[#This Row],[Category]]="Footwear"),"High","Low")</f>
        <v>Low</v>
      </c>
      <c r="C203" t="str">
        <f>TEXT(Table1[[#This Row],[Date]],"MMM-YY")</f>
        <v>Feb-25</v>
      </c>
      <c r="D203" s="10" t="str">
        <f>IF(Table1[[#This Row],[profit]]&gt;5000000,"High",IF(Table1[[#This Row],[profit]]&gt;3000000,"Medium","Low"))</f>
        <v>Low</v>
      </c>
      <c r="E203" t="str">
        <f>IF(Table1[[#This Row],[Status]]="Completed","Paid","Not Paid")</f>
        <v>Paid</v>
      </c>
    </row>
    <row r="204" spans="1:5" x14ac:dyDescent="0.25">
      <c r="A204" t="str">
        <f>IF(Table1[[#This Row],[Customer Name]]="Emma Clark","EMMA CLARK",Table1[[#This Row],[Customer Name]])</f>
        <v>John Doe</v>
      </c>
      <c r="B204" t="str">
        <f>IF(AND(Table1[[#This Row],[Price]]&gt;50,Table1[[#This Row],[Category]]="Footwear"),"High","Low")</f>
        <v>Low</v>
      </c>
      <c r="C204" t="str">
        <f>TEXT(Table1[[#This Row],[Date]],"MMM-YY")</f>
        <v>Feb-25</v>
      </c>
      <c r="D204" s="10" t="str">
        <f>IF(Table1[[#This Row],[profit]]&gt;5000000,"High",IF(Table1[[#This Row],[profit]]&gt;3000000,"Medium","Low"))</f>
        <v>High</v>
      </c>
      <c r="E204" t="str">
        <f>IF(Table1[[#This Row],[Status]]="Completed","Paid","Not Paid")</f>
        <v>Not Paid</v>
      </c>
    </row>
    <row r="205" spans="1:5" x14ac:dyDescent="0.25">
      <c r="A205" t="str">
        <f>IF(Table1[[#This Row],[Customer Name]]="Emma Clark","EMMA CLARK",Table1[[#This Row],[Customer Name]])</f>
        <v>Jane Smith</v>
      </c>
      <c r="B205" t="str">
        <f>IF(AND(Table1[[#This Row],[Price]]&gt;50,Table1[[#This Row],[Category]]="Footwear"),"High","Low")</f>
        <v>High</v>
      </c>
      <c r="C205" t="str">
        <f>TEXT(Table1[[#This Row],[Date]],"MMM-YY")</f>
        <v>Mar-25</v>
      </c>
      <c r="D205" s="10" t="str">
        <f>IF(Table1[[#This Row],[profit]]&gt;5000000,"High",IF(Table1[[#This Row],[profit]]&gt;3000000,"Medium","Low"))</f>
        <v>Low</v>
      </c>
      <c r="E205" t="str">
        <f>IF(Table1[[#This Row],[Status]]="Completed","Paid","Not Paid")</f>
        <v>Not Paid</v>
      </c>
    </row>
    <row r="206" spans="1:5" x14ac:dyDescent="0.25">
      <c r="A206" t="str">
        <f>IF(Table1[[#This Row],[Customer Name]]="Emma Clark","EMMA CLARK",Table1[[#This Row],[Customer Name]])</f>
        <v>David Lee</v>
      </c>
      <c r="B206" t="str">
        <f>IF(AND(Table1[[#This Row],[Price]]&gt;50,Table1[[#This Row],[Category]]="Footwear"),"High","Low")</f>
        <v>Low</v>
      </c>
      <c r="C206" t="str">
        <f>TEXT(Table1[[#This Row],[Date]],"MMM-YY")</f>
        <v>Feb-25</v>
      </c>
      <c r="D206" s="10" t="str">
        <f>IF(Table1[[#This Row],[profit]]&gt;5000000,"High",IF(Table1[[#This Row],[profit]]&gt;3000000,"Medium","Low"))</f>
        <v>High</v>
      </c>
      <c r="E206" t="str">
        <f>IF(Table1[[#This Row],[Status]]="Completed","Paid","Not Paid")</f>
        <v>Paid</v>
      </c>
    </row>
    <row r="207" spans="1:5" x14ac:dyDescent="0.25">
      <c r="A207" t="str">
        <f>IF(Table1[[#This Row],[Customer Name]]="Emma Clark","EMMA CLARK",Table1[[#This Row],[Customer Name]])</f>
        <v>EMMA CLARK</v>
      </c>
      <c r="B207" t="str">
        <f>IF(AND(Table1[[#This Row],[Price]]&gt;50,Table1[[#This Row],[Category]]="Footwear"),"High","Low")</f>
        <v>Low</v>
      </c>
      <c r="C207" t="str">
        <f>TEXT(Table1[[#This Row],[Date]],"MMM-YY")</f>
        <v>Feb-25</v>
      </c>
      <c r="D207" s="10" t="str">
        <f>IF(Table1[[#This Row],[profit]]&gt;5000000,"High",IF(Table1[[#This Row],[profit]]&gt;3000000,"Medium","Low"))</f>
        <v>Medium</v>
      </c>
      <c r="E207" t="str">
        <f>IF(Table1[[#This Row],[Status]]="Completed","Paid","Not Paid")</f>
        <v>Not Paid</v>
      </c>
    </row>
    <row r="208" spans="1:5" x14ac:dyDescent="0.25">
      <c r="A208" t="str">
        <f>IF(Table1[[#This Row],[Customer Name]]="Emma Clark","EMMA CLARK",Table1[[#This Row],[Customer Name]])</f>
        <v>John Doe</v>
      </c>
      <c r="B208" t="str">
        <f>IF(AND(Table1[[#This Row],[Price]]&gt;50,Table1[[#This Row],[Category]]="Footwear"),"High","Low")</f>
        <v>Low</v>
      </c>
      <c r="C208" t="str">
        <f>TEXT(Table1[[#This Row],[Date]],"MMM-YY")</f>
        <v>Mar-25</v>
      </c>
      <c r="D208" s="10" t="str">
        <f>IF(Table1[[#This Row],[profit]]&gt;5000000,"High",IF(Table1[[#This Row],[profit]]&gt;3000000,"Medium","Low"))</f>
        <v>High</v>
      </c>
      <c r="E208" t="str">
        <f>IF(Table1[[#This Row],[Status]]="Completed","Paid","Not Paid")</f>
        <v>Paid</v>
      </c>
    </row>
    <row r="209" spans="1:5" x14ac:dyDescent="0.25">
      <c r="A209" t="str">
        <f>IF(Table1[[#This Row],[Customer Name]]="Emma Clark","EMMA CLARK",Table1[[#This Row],[Customer Name]])</f>
        <v>John Doe</v>
      </c>
      <c r="B209" t="str">
        <f>IF(AND(Table1[[#This Row],[Price]]&gt;50,Table1[[#This Row],[Category]]="Footwear"),"High","Low")</f>
        <v>Low</v>
      </c>
      <c r="C209" t="str">
        <f>TEXT(Table1[[#This Row],[Date]],"MMM-YY")</f>
        <v>Feb-25</v>
      </c>
      <c r="D209" s="10" t="str">
        <f>IF(Table1[[#This Row],[profit]]&gt;5000000,"High",IF(Table1[[#This Row],[profit]]&gt;3000000,"Medium","Low"))</f>
        <v>Low</v>
      </c>
      <c r="E209" t="str">
        <f>IF(Table1[[#This Row],[Status]]="Completed","Paid","Not Paid")</f>
        <v>Paid</v>
      </c>
    </row>
    <row r="210" spans="1:5" x14ac:dyDescent="0.25">
      <c r="A210" t="str">
        <f>IF(Table1[[#This Row],[Customer Name]]="Emma Clark","EMMA CLARK",Table1[[#This Row],[Customer Name]])</f>
        <v>Daniel Harris</v>
      </c>
      <c r="B210" t="str">
        <f>IF(AND(Table1[[#This Row],[Price]]&gt;50,Table1[[#This Row],[Category]]="Footwear"),"High","Low")</f>
        <v>Low</v>
      </c>
      <c r="C210" t="str">
        <f>TEXT(Table1[[#This Row],[Date]],"MMM-YY")</f>
        <v>Mar-25</v>
      </c>
      <c r="D210" s="10" t="str">
        <f>IF(Table1[[#This Row],[profit]]&gt;5000000,"High",IF(Table1[[#This Row],[profit]]&gt;3000000,"Medium","Low"))</f>
        <v>Low</v>
      </c>
      <c r="E210" t="str">
        <f>IF(Table1[[#This Row],[Status]]="Completed","Paid","Not Paid")</f>
        <v>Paid</v>
      </c>
    </row>
    <row r="211" spans="1:5" x14ac:dyDescent="0.25">
      <c r="A211" t="str">
        <f>IF(Table1[[#This Row],[Customer Name]]="Emma Clark","EMMA CLARK",Table1[[#This Row],[Customer Name]])</f>
        <v>Jane Smith</v>
      </c>
      <c r="B211" t="str">
        <f>IF(AND(Table1[[#This Row],[Price]]&gt;50,Table1[[#This Row],[Category]]="Footwear"),"High","Low")</f>
        <v>Low</v>
      </c>
      <c r="C211" t="str">
        <f>TEXT(Table1[[#This Row],[Date]],"MMM-YY")</f>
        <v>Mar-25</v>
      </c>
      <c r="D211" s="10" t="str">
        <f>IF(Table1[[#This Row],[profit]]&gt;5000000,"High",IF(Table1[[#This Row],[profit]]&gt;3000000,"Medium","Low"))</f>
        <v>Low</v>
      </c>
      <c r="E211" t="str">
        <f>IF(Table1[[#This Row],[Status]]="Completed","Paid","Not Paid")</f>
        <v>Paid</v>
      </c>
    </row>
    <row r="212" spans="1:5" x14ac:dyDescent="0.25">
      <c r="A212" t="str">
        <f>IF(Table1[[#This Row],[Customer Name]]="Emma Clark","EMMA CLARK",Table1[[#This Row],[Customer Name]])</f>
        <v>David Lee</v>
      </c>
      <c r="B212" t="str">
        <f>IF(AND(Table1[[#This Row],[Price]]&gt;50,Table1[[#This Row],[Category]]="Footwear"),"High","Low")</f>
        <v>Low</v>
      </c>
      <c r="C212" t="str">
        <f>TEXT(Table1[[#This Row],[Date]],"MMM-YY")</f>
        <v>Mar-25</v>
      </c>
      <c r="D212" s="10" t="str">
        <f>IF(Table1[[#This Row],[profit]]&gt;5000000,"High",IF(Table1[[#This Row],[profit]]&gt;3000000,"Medium","Low"))</f>
        <v>Low</v>
      </c>
      <c r="E212" t="str">
        <f>IF(Table1[[#This Row],[Status]]="Completed","Paid","Not Paid")</f>
        <v>Not Paid</v>
      </c>
    </row>
    <row r="213" spans="1:5" x14ac:dyDescent="0.25">
      <c r="A213" t="str">
        <f>IF(Table1[[#This Row],[Customer Name]]="Emma Clark","EMMA CLARK",Table1[[#This Row],[Customer Name]])</f>
        <v>EMMA CLARK</v>
      </c>
      <c r="B213" t="str">
        <f>IF(AND(Table1[[#This Row],[Price]]&gt;50,Table1[[#This Row],[Category]]="Footwear"),"High","Low")</f>
        <v>Low</v>
      </c>
      <c r="C213" t="str">
        <f>TEXT(Table1[[#This Row],[Date]],"MMM-YY")</f>
        <v>Mar-25</v>
      </c>
      <c r="D213" s="10" t="str">
        <f>IF(Table1[[#This Row],[profit]]&gt;5000000,"High",IF(Table1[[#This Row],[profit]]&gt;3000000,"Medium","Low"))</f>
        <v>Low</v>
      </c>
      <c r="E213" t="str">
        <f>IF(Table1[[#This Row],[Status]]="Completed","Paid","Not Paid")</f>
        <v>Paid</v>
      </c>
    </row>
    <row r="214" spans="1:5" x14ac:dyDescent="0.25">
      <c r="A214" t="str">
        <f>IF(Table1[[#This Row],[Customer Name]]="Emma Clark","EMMA CLARK",Table1[[#This Row],[Customer Name]])</f>
        <v>Jane Smith</v>
      </c>
      <c r="B214" t="str">
        <f>IF(AND(Table1[[#This Row],[Price]]&gt;50,Table1[[#This Row],[Category]]="Footwear"),"High","Low")</f>
        <v>Low</v>
      </c>
      <c r="C214" t="str">
        <f>TEXT(Table1[[#This Row],[Date]],"MMM-YY")</f>
        <v>Feb-25</v>
      </c>
      <c r="D214" s="10" t="str">
        <f>IF(Table1[[#This Row],[profit]]&gt;5000000,"High",IF(Table1[[#This Row],[profit]]&gt;3000000,"Medium","Low"))</f>
        <v>High</v>
      </c>
      <c r="E214" t="str">
        <f>IF(Table1[[#This Row],[Status]]="Completed","Paid","Not Paid")</f>
        <v>Not Paid</v>
      </c>
    </row>
    <row r="215" spans="1:5" x14ac:dyDescent="0.25">
      <c r="A215" t="str">
        <f>IF(Table1[[#This Row],[Customer Name]]="Emma Clark","EMMA CLARK",Table1[[#This Row],[Customer Name]])</f>
        <v>Emily Johnson</v>
      </c>
      <c r="B215" t="str">
        <f>IF(AND(Table1[[#This Row],[Price]]&gt;50,Table1[[#This Row],[Category]]="Footwear"),"High","Low")</f>
        <v>Low</v>
      </c>
      <c r="C215" t="str">
        <f>TEXT(Table1[[#This Row],[Date]],"MMM-YY")</f>
        <v>Feb-25</v>
      </c>
      <c r="D215" s="10" t="str">
        <f>IF(Table1[[#This Row],[profit]]&gt;5000000,"High",IF(Table1[[#This Row],[profit]]&gt;3000000,"Medium","Low"))</f>
        <v>High</v>
      </c>
      <c r="E215" t="str">
        <f>IF(Table1[[#This Row],[Status]]="Completed","Paid","Not Paid")</f>
        <v>Paid</v>
      </c>
    </row>
    <row r="216" spans="1:5" x14ac:dyDescent="0.25">
      <c r="A216" t="str">
        <f>IF(Table1[[#This Row],[Customer Name]]="Emma Clark","EMMA CLARK",Table1[[#This Row],[Customer Name]])</f>
        <v>EMMA CLARK</v>
      </c>
      <c r="B216" t="str">
        <f>IF(AND(Table1[[#This Row],[Price]]&gt;50,Table1[[#This Row],[Category]]="Footwear"),"High","Low")</f>
        <v>High</v>
      </c>
      <c r="C216" t="str">
        <f>TEXT(Table1[[#This Row],[Date]],"MMM-YY")</f>
        <v>Mar-25</v>
      </c>
      <c r="D216" s="10" t="str">
        <f>IF(Table1[[#This Row],[profit]]&gt;5000000,"High",IF(Table1[[#This Row],[profit]]&gt;3000000,"Medium","Low"))</f>
        <v>High</v>
      </c>
      <c r="E216" t="str">
        <f>IF(Table1[[#This Row],[Status]]="Completed","Paid","Not Paid")</f>
        <v>Paid</v>
      </c>
    </row>
    <row r="217" spans="1:5" x14ac:dyDescent="0.25">
      <c r="A217" t="str">
        <f>IF(Table1[[#This Row],[Customer Name]]="Emma Clark","EMMA CLARK",Table1[[#This Row],[Customer Name]])</f>
        <v>Chris White</v>
      </c>
      <c r="B217" t="str">
        <f>IF(AND(Table1[[#This Row],[Price]]&gt;50,Table1[[#This Row],[Category]]="Footwear"),"High","Low")</f>
        <v>Low</v>
      </c>
      <c r="C217" t="str">
        <f>TEXT(Table1[[#This Row],[Date]],"MMM-YY")</f>
        <v>Mar-25</v>
      </c>
      <c r="D217" s="10" t="str">
        <f>IF(Table1[[#This Row],[profit]]&gt;5000000,"High",IF(Table1[[#This Row],[profit]]&gt;3000000,"Medium","Low"))</f>
        <v>High</v>
      </c>
      <c r="E217" t="str">
        <f>IF(Table1[[#This Row],[Status]]="Completed","Paid","Not Paid")</f>
        <v>Paid</v>
      </c>
    </row>
    <row r="218" spans="1:5" x14ac:dyDescent="0.25">
      <c r="A218" t="str">
        <f>IF(Table1[[#This Row],[Customer Name]]="Emma Clark","EMMA CLARK",Table1[[#This Row],[Customer Name]])</f>
        <v>EMMA CLARK</v>
      </c>
      <c r="B218" t="str">
        <f>IF(AND(Table1[[#This Row],[Price]]&gt;50,Table1[[#This Row],[Category]]="Footwear"),"High","Low")</f>
        <v>High</v>
      </c>
      <c r="C218" t="str">
        <f>TEXT(Table1[[#This Row],[Date]],"MMM-YY")</f>
        <v>Mar-25</v>
      </c>
      <c r="D218" s="10" t="str">
        <f>IF(Table1[[#This Row],[profit]]&gt;5000000,"High",IF(Table1[[#This Row],[profit]]&gt;3000000,"Medium","Low"))</f>
        <v>Low</v>
      </c>
      <c r="E218" t="str">
        <f>IF(Table1[[#This Row],[Status]]="Completed","Paid","Not Paid")</f>
        <v>Not Paid</v>
      </c>
    </row>
    <row r="219" spans="1:5" x14ac:dyDescent="0.25">
      <c r="A219" t="str">
        <f>IF(Table1[[#This Row],[Customer Name]]="Emma Clark","EMMA CLARK",Table1[[#This Row],[Customer Name]])</f>
        <v>Daniel Harris</v>
      </c>
      <c r="B219" t="str">
        <f>IF(AND(Table1[[#This Row],[Price]]&gt;50,Table1[[#This Row],[Category]]="Footwear"),"High","Low")</f>
        <v>Low</v>
      </c>
      <c r="C219" t="str">
        <f>TEXT(Table1[[#This Row],[Date]],"MMM-YY")</f>
        <v>Feb-25</v>
      </c>
      <c r="D219" s="10" t="str">
        <f>IF(Table1[[#This Row],[profit]]&gt;5000000,"High",IF(Table1[[#This Row],[profit]]&gt;3000000,"Medium","Low"))</f>
        <v>Low</v>
      </c>
      <c r="E219" t="str">
        <f>IF(Table1[[#This Row],[Status]]="Completed","Paid","Not Paid")</f>
        <v>Paid</v>
      </c>
    </row>
    <row r="220" spans="1:5" x14ac:dyDescent="0.25">
      <c r="A220" t="str">
        <f>IF(Table1[[#This Row],[Customer Name]]="Emma Clark","EMMA CLARK",Table1[[#This Row],[Customer Name]])</f>
        <v>David Lee</v>
      </c>
      <c r="B220" t="str">
        <f>IF(AND(Table1[[#This Row],[Price]]&gt;50,Table1[[#This Row],[Category]]="Footwear"),"High","Low")</f>
        <v>Low</v>
      </c>
      <c r="C220" t="str">
        <f>TEXT(Table1[[#This Row],[Date]],"MMM-YY")</f>
        <v>Feb-25</v>
      </c>
      <c r="D220" s="10" t="str">
        <f>IF(Table1[[#This Row],[profit]]&gt;5000000,"High",IF(Table1[[#This Row],[profit]]&gt;3000000,"Medium","Low"))</f>
        <v>Low</v>
      </c>
      <c r="E220" t="str">
        <f>IF(Table1[[#This Row],[Status]]="Completed","Paid","Not Paid")</f>
        <v>Not Paid</v>
      </c>
    </row>
    <row r="221" spans="1:5" x14ac:dyDescent="0.25">
      <c r="A221" t="str">
        <f>IF(Table1[[#This Row],[Customer Name]]="Emma Clark","EMMA CLARK",Table1[[#This Row],[Customer Name]])</f>
        <v>Michael Brown</v>
      </c>
      <c r="B221" t="str">
        <f>IF(AND(Table1[[#This Row],[Price]]&gt;50,Table1[[#This Row],[Category]]="Footwear"),"High","Low")</f>
        <v>Low</v>
      </c>
      <c r="C221" t="str">
        <f>TEXT(Table1[[#This Row],[Date]],"MMM-YY")</f>
        <v>Feb-25</v>
      </c>
      <c r="D221" s="10" t="str">
        <f>IF(Table1[[#This Row],[profit]]&gt;5000000,"High",IF(Table1[[#This Row],[profit]]&gt;3000000,"Medium","Low"))</f>
        <v>Low</v>
      </c>
      <c r="E221" t="str">
        <f>IF(Table1[[#This Row],[Status]]="Completed","Paid","Not Paid")</f>
        <v>Paid</v>
      </c>
    </row>
    <row r="222" spans="1:5" x14ac:dyDescent="0.25">
      <c r="A222" t="str">
        <f>IF(Table1[[#This Row],[Customer Name]]="Emma Clark","EMMA CLARK",Table1[[#This Row],[Customer Name]])</f>
        <v>Emily Johnson</v>
      </c>
      <c r="B222" t="str">
        <f>IF(AND(Table1[[#This Row],[Price]]&gt;50,Table1[[#This Row],[Category]]="Footwear"),"High","Low")</f>
        <v>Low</v>
      </c>
      <c r="C222" t="str">
        <f>TEXT(Table1[[#This Row],[Date]],"MMM-YY")</f>
        <v>Feb-25</v>
      </c>
      <c r="D222" s="10" t="str">
        <f>IF(Table1[[#This Row],[profit]]&gt;5000000,"High",IF(Table1[[#This Row],[profit]]&gt;3000000,"Medium","Low"))</f>
        <v>Medium</v>
      </c>
      <c r="E222" t="str">
        <f>IF(Table1[[#This Row],[Status]]="Completed","Paid","Not Paid")</f>
        <v>Not Paid</v>
      </c>
    </row>
    <row r="223" spans="1:5" x14ac:dyDescent="0.25">
      <c r="A223" t="str">
        <f>IF(Table1[[#This Row],[Customer Name]]="Emma Clark","EMMA CLARK",Table1[[#This Row],[Customer Name]])</f>
        <v>Chris White</v>
      </c>
      <c r="B223" t="str">
        <f>IF(AND(Table1[[#This Row],[Price]]&gt;50,Table1[[#This Row],[Category]]="Footwear"),"High","Low")</f>
        <v>Low</v>
      </c>
      <c r="C223" t="str">
        <f>TEXT(Table1[[#This Row],[Date]],"MMM-YY")</f>
        <v>Feb-25</v>
      </c>
      <c r="D223" s="10" t="str">
        <f>IF(Table1[[#This Row],[profit]]&gt;5000000,"High",IF(Table1[[#This Row],[profit]]&gt;3000000,"Medium","Low"))</f>
        <v>Low</v>
      </c>
      <c r="E223" t="str">
        <f>IF(Table1[[#This Row],[Status]]="Completed","Paid","Not Paid")</f>
        <v>Not Paid</v>
      </c>
    </row>
    <row r="224" spans="1:5" x14ac:dyDescent="0.25">
      <c r="A224" t="str">
        <f>IF(Table1[[#This Row],[Customer Name]]="Emma Clark","EMMA CLARK",Table1[[#This Row],[Customer Name]])</f>
        <v>David Lee</v>
      </c>
      <c r="B224" t="str">
        <f>IF(AND(Table1[[#This Row],[Price]]&gt;50,Table1[[#This Row],[Category]]="Footwear"),"High","Low")</f>
        <v>Low</v>
      </c>
      <c r="C224" t="str">
        <f>TEXT(Table1[[#This Row],[Date]],"MMM-YY")</f>
        <v>Mar-25</v>
      </c>
      <c r="D224" s="10" t="str">
        <f>IF(Table1[[#This Row],[profit]]&gt;5000000,"High",IF(Table1[[#This Row],[profit]]&gt;3000000,"Medium","Low"))</f>
        <v>High</v>
      </c>
      <c r="E224" t="str">
        <f>IF(Table1[[#This Row],[Status]]="Completed","Paid","Not Paid")</f>
        <v>Not Paid</v>
      </c>
    </row>
    <row r="225" spans="1:5" x14ac:dyDescent="0.25">
      <c r="A225" t="str">
        <f>IF(Table1[[#This Row],[Customer Name]]="Emma Clark","EMMA CLARK",Table1[[#This Row],[Customer Name]])</f>
        <v>Jane Smith</v>
      </c>
      <c r="B225" t="str">
        <f>IF(AND(Table1[[#This Row],[Price]]&gt;50,Table1[[#This Row],[Category]]="Footwear"),"High","Low")</f>
        <v>Low</v>
      </c>
      <c r="C225" t="str">
        <f>TEXT(Table1[[#This Row],[Date]],"MMM-YY")</f>
        <v>Mar-25</v>
      </c>
      <c r="D225" s="10" t="str">
        <f>IF(Table1[[#This Row],[profit]]&gt;5000000,"High",IF(Table1[[#This Row],[profit]]&gt;3000000,"Medium","Low"))</f>
        <v>Low</v>
      </c>
      <c r="E225" t="str">
        <f>IF(Table1[[#This Row],[Status]]="Completed","Paid","Not Paid")</f>
        <v>Paid</v>
      </c>
    </row>
    <row r="226" spans="1:5" x14ac:dyDescent="0.25">
      <c r="A226" t="str">
        <f>IF(Table1[[#This Row],[Customer Name]]="Emma Clark","EMMA CLARK",Table1[[#This Row],[Customer Name]])</f>
        <v>Sophia Miller</v>
      </c>
      <c r="B226" t="str">
        <f>IF(AND(Table1[[#This Row],[Price]]&gt;50,Table1[[#This Row],[Category]]="Footwear"),"High","Low")</f>
        <v>Low</v>
      </c>
      <c r="C226" t="str">
        <f>TEXT(Table1[[#This Row],[Date]],"MMM-YY")</f>
        <v>Mar-25</v>
      </c>
      <c r="D226" s="10" t="str">
        <f>IF(Table1[[#This Row],[profit]]&gt;5000000,"High",IF(Table1[[#This Row],[profit]]&gt;3000000,"Medium","Low"))</f>
        <v>Low</v>
      </c>
      <c r="E226" t="str">
        <f>IF(Table1[[#This Row],[Status]]="Completed","Paid","Not Paid")</f>
        <v>Paid</v>
      </c>
    </row>
    <row r="227" spans="1:5" x14ac:dyDescent="0.25">
      <c r="A227" t="str">
        <f>IF(Table1[[#This Row],[Customer Name]]="Emma Clark","EMMA CLARK",Table1[[#This Row],[Customer Name]])</f>
        <v>Chris White</v>
      </c>
      <c r="B227" t="str">
        <f>IF(AND(Table1[[#This Row],[Price]]&gt;50,Table1[[#This Row],[Category]]="Footwear"),"High","Low")</f>
        <v>High</v>
      </c>
      <c r="C227" t="str">
        <f>TEXT(Table1[[#This Row],[Date]],"MMM-YY")</f>
        <v>Mar-25</v>
      </c>
      <c r="D227" s="10" t="str">
        <f>IF(Table1[[#This Row],[profit]]&gt;5000000,"High",IF(Table1[[#This Row],[profit]]&gt;3000000,"Medium","Low"))</f>
        <v>Low</v>
      </c>
      <c r="E227" t="str">
        <f>IF(Table1[[#This Row],[Status]]="Completed","Paid","Not Paid")</f>
        <v>Paid</v>
      </c>
    </row>
    <row r="228" spans="1:5" x14ac:dyDescent="0.25">
      <c r="A228" t="str">
        <f>IF(Table1[[#This Row],[Customer Name]]="Emma Clark","EMMA CLARK",Table1[[#This Row],[Customer Name]])</f>
        <v>EMMA CLARK</v>
      </c>
      <c r="B228" t="str">
        <f>IF(AND(Table1[[#This Row],[Price]]&gt;50,Table1[[#This Row],[Category]]="Footwear"),"High","Low")</f>
        <v>Low</v>
      </c>
      <c r="C228" t="str">
        <f>TEXT(Table1[[#This Row],[Date]],"MMM-YY")</f>
        <v>Apr-25</v>
      </c>
      <c r="D228" s="10" t="str">
        <f>IF(Table1[[#This Row],[profit]]&gt;5000000,"High",IF(Table1[[#This Row],[profit]]&gt;3000000,"Medium","Low"))</f>
        <v>High</v>
      </c>
      <c r="E228" t="str">
        <f>IF(Table1[[#This Row],[Status]]="Completed","Paid","Not Paid")</f>
        <v>Not Paid</v>
      </c>
    </row>
    <row r="229" spans="1:5" x14ac:dyDescent="0.25">
      <c r="A229" t="str">
        <f>IF(Table1[[#This Row],[Customer Name]]="Emma Clark","EMMA CLARK",Table1[[#This Row],[Customer Name]])</f>
        <v>David Lee</v>
      </c>
      <c r="B229" t="str">
        <f>IF(AND(Table1[[#This Row],[Price]]&gt;50,Table1[[#This Row],[Category]]="Footwear"),"High","Low")</f>
        <v>High</v>
      </c>
      <c r="C229" t="str">
        <f>TEXT(Table1[[#This Row],[Date]],"MMM-YY")</f>
        <v>Feb-25</v>
      </c>
      <c r="D229" s="10" t="str">
        <f>IF(Table1[[#This Row],[profit]]&gt;5000000,"High",IF(Table1[[#This Row],[profit]]&gt;3000000,"Medium","Low"))</f>
        <v>Medium</v>
      </c>
      <c r="E229" t="str">
        <f>IF(Table1[[#This Row],[Status]]="Completed","Paid","Not Paid")</f>
        <v>Not Paid</v>
      </c>
    </row>
    <row r="230" spans="1:5" x14ac:dyDescent="0.25">
      <c r="A230" t="str">
        <f>IF(Table1[[#This Row],[Customer Name]]="Emma Clark","EMMA CLARK",Table1[[#This Row],[Customer Name]])</f>
        <v>EMMA CLARK</v>
      </c>
      <c r="B230" t="str">
        <f>IF(AND(Table1[[#This Row],[Price]]&gt;50,Table1[[#This Row],[Category]]="Footwear"),"High","Low")</f>
        <v>High</v>
      </c>
      <c r="C230" t="str">
        <f>TEXT(Table1[[#This Row],[Date]],"MMM-YY")</f>
        <v>Mar-25</v>
      </c>
      <c r="D230" s="10" t="str">
        <f>IF(Table1[[#This Row],[profit]]&gt;5000000,"High",IF(Table1[[#This Row],[profit]]&gt;3000000,"Medium","Low"))</f>
        <v>Low</v>
      </c>
      <c r="E230" t="str">
        <f>IF(Table1[[#This Row],[Status]]="Completed","Paid","Not Paid")</f>
        <v>Paid</v>
      </c>
    </row>
    <row r="231" spans="1:5" x14ac:dyDescent="0.25">
      <c r="A231" t="str">
        <f>IF(Table1[[#This Row],[Customer Name]]="Emma Clark","EMMA CLARK",Table1[[#This Row],[Customer Name]])</f>
        <v>Jane Smith</v>
      </c>
      <c r="B231" t="str">
        <f>IF(AND(Table1[[#This Row],[Price]]&gt;50,Table1[[#This Row],[Category]]="Footwear"),"High","Low")</f>
        <v>Low</v>
      </c>
      <c r="C231" t="str">
        <f>TEXT(Table1[[#This Row],[Date]],"MMM-YY")</f>
        <v>Mar-25</v>
      </c>
      <c r="D231" s="10" t="str">
        <f>IF(Table1[[#This Row],[profit]]&gt;5000000,"High",IF(Table1[[#This Row],[profit]]&gt;3000000,"Medium","Low"))</f>
        <v>Low</v>
      </c>
      <c r="E231" t="str">
        <f>IF(Table1[[#This Row],[Status]]="Completed","Paid","Not Paid")</f>
        <v>Not Paid</v>
      </c>
    </row>
    <row r="232" spans="1:5" x14ac:dyDescent="0.25">
      <c r="A232" t="str">
        <f>IF(Table1[[#This Row],[Customer Name]]="Emma Clark","EMMA CLARK",Table1[[#This Row],[Customer Name]])</f>
        <v>Jane Smith</v>
      </c>
      <c r="B232" t="str">
        <f>IF(AND(Table1[[#This Row],[Price]]&gt;50,Table1[[#This Row],[Category]]="Footwear"),"High","Low")</f>
        <v>Low</v>
      </c>
      <c r="C232" t="str">
        <f>TEXT(Table1[[#This Row],[Date]],"MMM-YY")</f>
        <v>Feb-25</v>
      </c>
      <c r="D232" s="10" t="str">
        <f>IF(Table1[[#This Row],[profit]]&gt;5000000,"High",IF(Table1[[#This Row],[profit]]&gt;3000000,"Medium","Low"))</f>
        <v>Low</v>
      </c>
      <c r="E232" t="str">
        <f>IF(Table1[[#This Row],[Status]]="Completed","Paid","Not Paid")</f>
        <v>Paid</v>
      </c>
    </row>
    <row r="233" spans="1:5" x14ac:dyDescent="0.25">
      <c r="A233" t="str">
        <f>IF(Table1[[#This Row],[Customer Name]]="Emma Clark","EMMA CLARK",Table1[[#This Row],[Customer Name]])</f>
        <v>EMMA CLARK</v>
      </c>
      <c r="B233" t="str">
        <f>IF(AND(Table1[[#This Row],[Price]]&gt;50,Table1[[#This Row],[Category]]="Footwear"),"High","Low")</f>
        <v>Low</v>
      </c>
      <c r="C233" t="str">
        <f>TEXT(Table1[[#This Row],[Date]],"MMM-YY")</f>
        <v>Mar-25</v>
      </c>
      <c r="D233" s="10" t="str">
        <f>IF(Table1[[#This Row],[profit]]&gt;5000000,"High",IF(Table1[[#This Row],[profit]]&gt;3000000,"Medium","Low"))</f>
        <v>Medium</v>
      </c>
      <c r="E233" t="str">
        <f>IF(Table1[[#This Row],[Status]]="Completed","Paid","Not Paid")</f>
        <v>Not Paid</v>
      </c>
    </row>
    <row r="234" spans="1:5" x14ac:dyDescent="0.25">
      <c r="A234" t="str">
        <f>IF(Table1[[#This Row],[Customer Name]]="Emma Clark","EMMA CLARK",Table1[[#This Row],[Customer Name]])</f>
        <v>David Lee</v>
      </c>
      <c r="B234" t="str">
        <f>IF(AND(Table1[[#This Row],[Price]]&gt;50,Table1[[#This Row],[Category]]="Footwear"),"High","Low")</f>
        <v>High</v>
      </c>
      <c r="C234" t="str">
        <f>TEXT(Table1[[#This Row],[Date]],"MMM-YY")</f>
        <v>Feb-25</v>
      </c>
      <c r="D234" s="10" t="str">
        <f>IF(Table1[[#This Row],[profit]]&gt;5000000,"High",IF(Table1[[#This Row],[profit]]&gt;3000000,"Medium","Low"))</f>
        <v>Low</v>
      </c>
      <c r="E234" t="str">
        <f>IF(Table1[[#This Row],[Status]]="Completed","Paid","Not Paid")</f>
        <v>Paid</v>
      </c>
    </row>
    <row r="235" spans="1:5" x14ac:dyDescent="0.25">
      <c r="A235" t="str">
        <f>IF(Table1[[#This Row],[Customer Name]]="Emma Clark","EMMA CLARK",Table1[[#This Row],[Customer Name]])</f>
        <v>Jane Smith</v>
      </c>
      <c r="B235" t="str">
        <f>IF(AND(Table1[[#This Row],[Price]]&gt;50,Table1[[#This Row],[Category]]="Footwear"),"High","Low")</f>
        <v>Low</v>
      </c>
      <c r="C235" t="str">
        <f>TEXT(Table1[[#This Row],[Date]],"MMM-YY")</f>
        <v>Mar-25</v>
      </c>
      <c r="D235" s="10" t="str">
        <f>IF(Table1[[#This Row],[profit]]&gt;5000000,"High",IF(Table1[[#This Row],[profit]]&gt;3000000,"Medium","Low"))</f>
        <v>High</v>
      </c>
      <c r="E235" t="str">
        <f>IF(Table1[[#This Row],[Status]]="Completed","Paid","Not Paid")</f>
        <v>Not Paid</v>
      </c>
    </row>
    <row r="236" spans="1:5" x14ac:dyDescent="0.25">
      <c r="A236" t="str">
        <f>IF(Table1[[#This Row],[Customer Name]]="Emma Clark","EMMA CLARK",Table1[[#This Row],[Customer Name]])</f>
        <v>Daniel Harris</v>
      </c>
      <c r="B236" t="str">
        <f>IF(AND(Table1[[#This Row],[Price]]&gt;50,Table1[[#This Row],[Category]]="Footwear"),"High","Low")</f>
        <v>Low</v>
      </c>
      <c r="C236" t="str">
        <f>TEXT(Table1[[#This Row],[Date]],"MMM-YY")</f>
        <v>Mar-25</v>
      </c>
      <c r="D236" s="10" t="str">
        <f>IF(Table1[[#This Row],[profit]]&gt;5000000,"High",IF(Table1[[#This Row],[profit]]&gt;3000000,"Medium","Low"))</f>
        <v>High</v>
      </c>
      <c r="E236" t="str">
        <f>IF(Table1[[#This Row],[Status]]="Completed","Paid","Not Paid")</f>
        <v>Not Paid</v>
      </c>
    </row>
    <row r="237" spans="1:5" x14ac:dyDescent="0.25">
      <c r="A237" t="str">
        <f>IF(Table1[[#This Row],[Customer Name]]="Emma Clark","EMMA CLARK",Table1[[#This Row],[Customer Name]])</f>
        <v>John Doe</v>
      </c>
      <c r="B237" t="str">
        <f>IF(AND(Table1[[#This Row],[Price]]&gt;50,Table1[[#This Row],[Category]]="Footwear"),"High","Low")</f>
        <v>Low</v>
      </c>
      <c r="C237" t="str">
        <f>TEXT(Table1[[#This Row],[Date]],"MMM-YY")</f>
        <v>Mar-25</v>
      </c>
      <c r="D237" s="10" t="str">
        <f>IF(Table1[[#This Row],[profit]]&gt;5000000,"High",IF(Table1[[#This Row],[profit]]&gt;3000000,"Medium","Low"))</f>
        <v>High</v>
      </c>
      <c r="E237" t="str">
        <f>IF(Table1[[#This Row],[Status]]="Completed","Paid","Not Paid")</f>
        <v>Not Paid</v>
      </c>
    </row>
    <row r="238" spans="1:5" x14ac:dyDescent="0.25">
      <c r="A238" t="str">
        <f>IF(Table1[[#This Row],[Customer Name]]="Emma Clark","EMMA CLARK",Table1[[#This Row],[Customer Name]])</f>
        <v>Michael Brown</v>
      </c>
      <c r="B238" t="str">
        <f>IF(AND(Table1[[#This Row],[Price]]&gt;50,Table1[[#This Row],[Category]]="Footwear"),"High","Low")</f>
        <v>Low</v>
      </c>
      <c r="C238" t="str">
        <f>TEXT(Table1[[#This Row],[Date]],"MMM-YY")</f>
        <v>Feb-25</v>
      </c>
      <c r="D238" s="10" t="str">
        <f>IF(Table1[[#This Row],[profit]]&gt;5000000,"High",IF(Table1[[#This Row],[profit]]&gt;3000000,"Medium","Low"))</f>
        <v>Low</v>
      </c>
      <c r="E238" t="str">
        <f>IF(Table1[[#This Row],[Status]]="Completed","Paid","Not Paid")</f>
        <v>Paid</v>
      </c>
    </row>
    <row r="239" spans="1:5" x14ac:dyDescent="0.25">
      <c r="A239" t="str">
        <f>IF(Table1[[#This Row],[Customer Name]]="Emma Clark","EMMA CLARK",Table1[[#This Row],[Customer Name]])</f>
        <v>Olivia Wilson</v>
      </c>
      <c r="B239" t="str">
        <f>IF(AND(Table1[[#This Row],[Price]]&gt;50,Table1[[#This Row],[Category]]="Footwear"),"High","Low")</f>
        <v>Low</v>
      </c>
      <c r="C239" t="str">
        <f>TEXT(Table1[[#This Row],[Date]],"MMM-YY")</f>
        <v>Mar-25</v>
      </c>
      <c r="D239" s="10" t="str">
        <f>IF(Table1[[#This Row],[profit]]&gt;5000000,"High",IF(Table1[[#This Row],[profit]]&gt;3000000,"Medium","Low"))</f>
        <v>Low</v>
      </c>
      <c r="E239" t="str">
        <f>IF(Table1[[#This Row],[Status]]="Completed","Paid","Not Paid")</f>
        <v>Paid</v>
      </c>
    </row>
    <row r="240" spans="1:5" x14ac:dyDescent="0.25">
      <c r="A240" t="str">
        <f>IF(Table1[[#This Row],[Customer Name]]="Emma Clark","EMMA CLARK",Table1[[#This Row],[Customer Name]])</f>
        <v>Daniel Harris</v>
      </c>
      <c r="B240" t="str">
        <f>IF(AND(Table1[[#This Row],[Price]]&gt;50,Table1[[#This Row],[Category]]="Footwear"),"High","Low")</f>
        <v>Low</v>
      </c>
      <c r="C240" t="str">
        <f>TEXT(Table1[[#This Row],[Date]],"MMM-YY")</f>
        <v>Mar-25</v>
      </c>
      <c r="D240" s="10" t="str">
        <f>IF(Table1[[#This Row],[profit]]&gt;5000000,"High",IF(Table1[[#This Row],[profit]]&gt;3000000,"Medium","Low"))</f>
        <v>Low</v>
      </c>
      <c r="E240" t="str">
        <f>IF(Table1[[#This Row],[Status]]="Completed","Paid","Not Paid")</f>
        <v>Paid</v>
      </c>
    </row>
    <row r="241" spans="1:5" x14ac:dyDescent="0.25">
      <c r="A241" t="str">
        <f>IF(Table1[[#This Row],[Customer Name]]="Emma Clark","EMMA CLARK",Table1[[#This Row],[Customer Name]])</f>
        <v>John Doe</v>
      </c>
      <c r="B241" t="str">
        <f>IF(AND(Table1[[#This Row],[Price]]&gt;50,Table1[[#This Row],[Category]]="Footwear"),"High","Low")</f>
        <v>Low</v>
      </c>
      <c r="C241" t="str">
        <f>TEXT(Table1[[#This Row],[Date]],"MMM-YY")</f>
        <v>Feb-25</v>
      </c>
      <c r="D241" s="10" t="str">
        <f>IF(Table1[[#This Row],[profit]]&gt;5000000,"High",IF(Table1[[#This Row],[profit]]&gt;3000000,"Medium","Low"))</f>
        <v>High</v>
      </c>
      <c r="E241" t="str">
        <f>IF(Table1[[#This Row],[Status]]="Completed","Paid","Not Paid")</f>
        <v>Not Paid</v>
      </c>
    </row>
    <row r="242" spans="1:5" x14ac:dyDescent="0.25">
      <c r="A242" t="str">
        <f>IF(Table1[[#This Row],[Customer Name]]="Emma Clark","EMMA CLARK",Table1[[#This Row],[Customer Name]])</f>
        <v>Olivia Wilson</v>
      </c>
      <c r="B242" t="str">
        <f>IF(AND(Table1[[#This Row],[Price]]&gt;50,Table1[[#This Row],[Category]]="Footwear"),"High","Low")</f>
        <v>Low</v>
      </c>
      <c r="C242" t="str">
        <f>TEXT(Table1[[#This Row],[Date]],"MMM-YY")</f>
        <v>Mar-25</v>
      </c>
      <c r="D242" s="10" t="str">
        <f>IF(Table1[[#This Row],[profit]]&gt;5000000,"High",IF(Table1[[#This Row],[profit]]&gt;3000000,"Medium","Low"))</f>
        <v>Low</v>
      </c>
      <c r="E242" t="str">
        <f>IF(Table1[[#This Row],[Status]]="Completed","Paid","Not Paid")</f>
        <v>Not Paid</v>
      </c>
    </row>
    <row r="243" spans="1:5" x14ac:dyDescent="0.25">
      <c r="A243" t="str">
        <f>IF(Table1[[#This Row],[Customer Name]]="Emma Clark","EMMA CLARK",Table1[[#This Row],[Customer Name]])</f>
        <v>Chris White</v>
      </c>
      <c r="B243" t="str">
        <f>IF(AND(Table1[[#This Row],[Price]]&gt;50,Table1[[#This Row],[Category]]="Footwear"),"High","Low")</f>
        <v>Low</v>
      </c>
      <c r="C243" t="str">
        <f>TEXT(Table1[[#This Row],[Date]],"MMM-YY")</f>
        <v>Mar-25</v>
      </c>
      <c r="D243" s="10" t="str">
        <f>IF(Table1[[#This Row],[profit]]&gt;5000000,"High",IF(Table1[[#This Row],[profit]]&gt;3000000,"Medium","Low"))</f>
        <v>Low</v>
      </c>
      <c r="E243" t="str">
        <f>IF(Table1[[#This Row],[Status]]="Completed","Paid","Not Paid")</f>
        <v>Paid</v>
      </c>
    </row>
    <row r="244" spans="1:5" x14ac:dyDescent="0.25">
      <c r="A244" t="str">
        <f>IF(Table1[[#This Row],[Customer Name]]="Emma Clark","EMMA CLARK",Table1[[#This Row],[Customer Name]])</f>
        <v>Chris White</v>
      </c>
      <c r="B244" t="str">
        <f>IF(AND(Table1[[#This Row],[Price]]&gt;50,Table1[[#This Row],[Category]]="Footwear"),"High","Low")</f>
        <v>High</v>
      </c>
      <c r="C244" t="str">
        <f>TEXT(Table1[[#This Row],[Date]],"MMM-YY")</f>
        <v>Mar-25</v>
      </c>
      <c r="D244" s="10" t="str">
        <f>IF(Table1[[#This Row],[profit]]&gt;5000000,"High",IF(Table1[[#This Row],[profit]]&gt;3000000,"Medium","Low"))</f>
        <v>High</v>
      </c>
      <c r="E244" t="str">
        <f>IF(Table1[[#This Row],[Status]]="Completed","Paid","Not Paid")</f>
        <v>Not Paid</v>
      </c>
    </row>
    <row r="245" spans="1:5" x14ac:dyDescent="0.25">
      <c r="A245" t="str">
        <f>IF(Table1[[#This Row],[Customer Name]]="Emma Clark","EMMA CLARK",Table1[[#This Row],[Customer Name]])</f>
        <v>EMMA CLARK</v>
      </c>
      <c r="B245" t="str">
        <f>IF(AND(Table1[[#This Row],[Price]]&gt;50,Table1[[#This Row],[Category]]="Footwear"),"High","Low")</f>
        <v>Low</v>
      </c>
      <c r="C245" t="str">
        <f>TEXT(Table1[[#This Row],[Date]],"MMM-YY")</f>
        <v>Feb-25</v>
      </c>
      <c r="D245" s="10" t="str">
        <f>IF(Table1[[#This Row],[profit]]&gt;5000000,"High",IF(Table1[[#This Row],[profit]]&gt;3000000,"Medium","Low"))</f>
        <v>Medium</v>
      </c>
      <c r="E245" t="str">
        <f>IF(Table1[[#This Row],[Status]]="Completed","Paid","Not Paid")</f>
        <v>Paid</v>
      </c>
    </row>
    <row r="246" spans="1:5" x14ac:dyDescent="0.25">
      <c r="A246" t="str">
        <f>IF(Table1[[#This Row],[Customer Name]]="Emma Clark","EMMA CLARK",Table1[[#This Row],[Customer Name]])</f>
        <v>Michael Brown</v>
      </c>
      <c r="B246" t="str">
        <f>IF(AND(Table1[[#This Row],[Price]]&gt;50,Table1[[#This Row],[Category]]="Footwear"),"High","Low")</f>
        <v>Low</v>
      </c>
      <c r="C246" t="str">
        <f>TEXT(Table1[[#This Row],[Date]],"MMM-YY")</f>
        <v>Feb-25</v>
      </c>
      <c r="D246" s="10" t="str">
        <f>IF(Table1[[#This Row],[profit]]&gt;5000000,"High",IF(Table1[[#This Row],[profit]]&gt;3000000,"Medium","Low"))</f>
        <v>Low</v>
      </c>
      <c r="E246" t="str">
        <f>IF(Table1[[#This Row],[Status]]="Completed","Paid","Not Paid")</f>
        <v>Paid</v>
      </c>
    </row>
    <row r="247" spans="1:5" x14ac:dyDescent="0.25">
      <c r="A247" t="str">
        <f>IF(Table1[[#This Row],[Customer Name]]="Emma Clark","EMMA CLARK",Table1[[#This Row],[Customer Name]])</f>
        <v>Daniel Harris</v>
      </c>
      <c r="B247" t="str">
        <f>IF(AND(Table1[[#This Row],[Price]]&gt;50,Table1[[#This Row],[Category]]="Footwear"),"High","Low")</f>
        <v>Low</v>
      </c>
      <c r="C247" t="str">
        <f>TEXT(Table1[[#This Row],[Date]],"MMM-YY")</f>
        <v>Mar-25</v>
      </c>
      <c r="D247" s="10" t="str">
        <f>IF(Table1[[#This Row],[profit]]&gt;5000000,"High",IF(Table1[[#This Row],[profit]]&gt;3000000,"Medium","Low"))</f>
        <v>High</v>
      </c>
      <c r="E247" t="str">
        <f>IF(Table1[[#This Row],[Status]]="Completed","Paid","Not Paid")</f>
        <v>Not Paid</v>
      </c>
    </row>
    <row r="248" spans="1:5" x14ac:dyDescent="0.25">
      <c r="A248" t="str">
        <f>IF(Table1[[#This Row],[Customer Name]]="Emma Clark","EMMA CLARK",Table1[[#This Row],[Customer Name]])</f>
        <v>Sophia Miller</v>
      </c>
      <c r="B248" t="str">
        <f>IF(AND(Table1[[#This Row],[Price]]&gt;50,Table1[[#This Row],[Category]]="Footwear"),"High","Low")</f>
        <v>Low</v>
      </c>
      <c r="C248" t="str">
        <f>TEXT(Table1[[#This Row],[Date]],"MMM-YY")</f>
        <v>Mar-25</v>
      </c>
      <c r="D248" s="10" t="str">
        <f>IF(Table1[[#This Row],[profit]]&gt;5000000,"High",IF(Table1[[#This Row],[profit]]&gt;3000000,"Medium","Low"))</f>
        <v>Low</v>
      </c>
      <c r="E248" t="str">
        <f>IF(Table1[[#This Row],[Status]]="Completed","Paid","Not Paid")</f>
        <v>Not Paid</v>
      </c>
    </row>
    <row r="249" spans="1:5" x14ac:dyDescent="0.25">
      <c r="A249" t="str">
        <f>IF(Table1[[#This Row],[Customer Name]]="Emma Clark","EMMA CLARK",Table1[[#This Row],[Customer Name]])</f>
        <v>Chris White</v>
      </c>
      <c r="B249" t="str">
        <f>IF(AND(Table1[[#This Row],[Price]]&gt;50,Table1[[#This Row],[Category]]="Footwear"),"High","Low")</f>
        <v>Low</v>
      </c>
      <c r="C249" t="str">
        <f>TEXT(Table1[[#This Row],[Date]],"MMM-YY")</f>
        <v>Mar-25</v>
      </c>
      <c r="D249" s="10" t="str">
        <f>IF(Table1[[#This Row],[profit]]&gt;5000000,"High",IF(Table1[[#This Row],[profit]]&gt;3000000,"Medium","Low"))</f>
        <v>Low</v>
      </c>
      <c r="E249" t="str">
        <f>IF(Table1[[#This Row],[Status]]="Completed","Paid","Not Paid")</f>
        <v>Paid</v>
      </c>
    </row>
    <row r="250" spans="1:5" x14ac:dyDescent="0.25">
      <c r="A250" t="str">
        <f>IF(Table1[[#This Row],[Customer Name]]="Emma Clark","EMMA CLARK",Table1[[#This Row],[Customer Name]])</f>
        <v>Emily Johnson</v>
      </c>
      <c r="B250" t="str">
        <f>IF(AND(Table1[[#This Row],[Price]]&gt;50,Table1[[#This Row],[Category]]="Footwear"),"High","Low")</f>
        <v>Low</v>
      </c>
      <c r="C250" t="str">
        <f>TEXT(Table1[[#This Row],[Date]],"MMM-YY")</f>
        <v>Mar-25</v>
      </c>
      <c r="D250" s="10" t="str">
        <f>IF(Table1[[#This Row],[profit]]&gt;5000000,"High",IF(Table1[[#This Row],[profit]]&gt;3000000,"Medium","Low"))</f>
        <v>Low</v>
      </c>
      <c r="E250" t="str">
        <f>IF(Table1[[#This Row],[Status]]="Completed","Paid","Not Paid")</f>
        <v>Not Paid</v>
      </c>
    </row>
    <row r="251" spans="1:5" x14ac:dyDescent="0.25">
      <c r="A251" t="str">
        <f>IF(Table1[[#This Row],[Customer Name]]="Emma Clark","EMMA CLARK",Table1[[#This Row],[Customer Name]])</f>
        <v>Emily Johnson</v>
      </c>
      <c r="B251" t="str">
        <f>IF(AND(Table1[[#This Row],[Price]]&gt;50,Table1[[#This Row],[Category]]="Footwear"),"High","Low")</f>
        <v>Low</v>
      </c>
      <c r="C251" t="str">
        <f>TEXT(Table1[[#This Row],[Date]],"MMM-YY")</f>
        <v>Feb-25</v>
      </c>
      <c r="D251" s="10" t="str">
        <f>IF(Table1[[#This Row],[profit]]&gt;5000000,"High",IF(Table1[[#This Row],[profit]]&gt;3000000,"Medium","Low"))</f>
        <v>Low</v>
      </c>
      <c r="E251" t="str">
        <f>IF(Table1[[#This Row],[Status]]="Completed","Paid","Not Paid")</f>
        <v>Paid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0C44-7B58-40C9-82F9-A90C1127E086}">
  <sheetPr>
    <tabColor rgb="FFFFCCFF"/>
  </sheetPr>
  <dimension ref="A1"/>
  <sheetViews>
    <sheetView showGridLines="0" tabSelected="1" topLeftCell="A2" zoomScale="56" workbookViewId="0">
      <selection activeCell="D56" sqref="D56"/>
    </sheetView>
  </sheetViews>
  <sheetFormatPr defaultRowHeight="15" x14ac:dyDescent="0.25"/>
  <cols>
    <col min="1" max="1" width="3.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Vlookup</vt:lpstr>
      <vt:lpstr>Xlookup</vt:lpstr>
      <vt:lpstr>Sheet4</vt:lpstr>
      <vt:lpstr>Amazon_sales</vt:lpstr>
      <vt:lpstr>IF Condition</vt:lpstr>
      <vt:lpstr>amazon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ABHINAYA PANNEERSELVAM PANNEERSELVAM</dc:creator>
  <cp:lastModifiedBy>ABHINAYA PANNEERSELVAM PANNEERSELVAM</cp:lastModifiedBy>
  <dcterms:created xsi:type="dcterms:W3CDTF">2026-07-19T12:58:11Z</dcterms:created>
  <dcterms:modified xsi:type="dcterms:W3CDTF">2026-07-27T13:19:49Z</dcterms:modified>
</cp:coreProperties>
</file>